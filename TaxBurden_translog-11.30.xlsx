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40" activeTab="2"/>
  </bookViews>
  <sheets>
    <sheet name="Tax_Burden" sheetId="3" r:id="rId1"/>
    <sheet name="Tax_Burden_byYear" sheetId="4" r:id="rId2"/>
    <sheet name="Coef.Value" sheetId="5" r:id="rId3"/>
  </sheets>
  <calcPr calcId="144525"/>
</workbook>
</file>

<file path=xl/sharedStrings.xml><?xml version="1.0" encoding="utf-8"?>
<sst xmlns="http://schemas.openxmlformats.org/spreadsheetml/2006/main" count="104" uniqueCount="34">
  <si>
    <t>Income group</t>
  </si>
  <si>
    <t>tax1</t>
  </si>
  <si>
    <t>tax2</t>
  </si>
  <si>
    <t>tax3</t>
  </si>
  <si>
    <t>area</t>
  </si>
  <si>
    <t>highest</t>
  </si>
  <si>
    <t>Urban</t>
  </si>
  <si>
    <t>lowest</t>
  </si>
  <si>
    <t>middle-high</t>
  </si>
  <si>
    <t>middle-low</t>
  </si>
  <si>
    <t>average</t>
  </si>
  <si>
    <t>Rural</t>
  </si>
  <si>
    <t>Average</t>
  </si>
  <si>
    <t>Scenario 1: Static VMT ($/household/week)</t>
  </si>
  <si>
    <t>Scenario 1: Static VMT ($/household/year)</t>
  </si>
  <si>
    <t>Highest</t>
  </si>
  <si>
    <t>Middle-high</t>
  </si>
  <si>
    <t>Middle-low</t>
  </si>
  <si>
    <t>Lowest</t>
  </si>
  <si>
    <t>Scenario 2: Elastic VMT without positive elasticities  (% change from scenario 1)</t>
  </si>
  <si>
    <t>Scenario 2: Elastic VMT with calculated elasticities  (% change from scenario 1)</t>
  </si>
  <si>
    <t>Scenario 3: Elastic VMT with calculated elasticities  (% change from scenario 1)</t>
  </si>
  <si>
    <t>Scenario 3: Elastic VMT without positive elasticities  (% change from scenario 1)</t>
  </si>
  <si>
    <t>Coef. value</t>
  </si>
  <si>
    <t>Variable</t>
  </si>
  <si>
    <t>Total</t>
  </si>
  <si>
    <t>Intercept</t>
  </si>
  <si>
    <t>lnCPM</t>
  </si>
  <si>
    <t>lnINC</t>
  </si>
  <si>
    <t>I(0.5*lnCPM**2)</t>
  </si>
  <si>
    <t>I(0.5*lnLNC**2)</t>
  </si>
  <si>
    <t>lnCPM:lnINC</t>
  </si>
  <si>
    <t>lnW</t>
  </si>
  <si>
    <t>lnV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</si>
</sst>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%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 Regular"/>
      <charset val="134"/>
    </font>
    <font>
      <sz val="11"/>
      <color theme="1"/>
      <name val="Times New Roman Regular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176" fontId="3" fillId="0" borderId="3" xfId="0" applyNumberFormat="1" applyFont="1" applyBorder="1" applyAlignment="1">
      <alignment horizontal="center"/>
    </xf>
    <xf numFmtId="0" fontId="0" fillId="0" borderId="2" xfId="0" applyBorder="1"/>
    <xf numFmtId="0" fontId="4" fillId="0" borderId="4" xfId="0" applyFont="1" applyBorder="1" applyAlignment="1">
      <alignment horizontal="center" vertical="top"/>
    </xf>
    <xf numFmtId="0" fontId="0" fillId="0" borderId="4" xfId="0" applyBorder="1"/>
    <xf numFmtId="0" fontId="4" fillId="0" borderId="0" xfId="0" applyFont="1" applyAlignment="1">
      <alignment vertical="top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0" borderId="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/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177" fontId="3" fillId="0" borderId="0" xfId="0" applyNumberFormat="1" applyFont="1" applyBorder="1" applyAlignment="1">
      <alignment horizontal="center"/>
    </xf>
    <xf numFmtId="177" fontId="3" fillId="0" borderId="3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23" sqref="C23"/>
    </sheetView>
  </sheetViews>
  <sheetFormatPr defaultColWidth="9" defaultRowHeight="16.8" outlineLevelCol="4"/>
  <cols>
    <col min="1" max="1" width="14.6153846153846" customWidth="1"/>
    <col min="2" max="4" width="12.9230769230769" customWidth="1"/>
    <col min="5" max="5" width="7.38461538461539" customWidth="1"/>
  </cols>
  <sheetData>
    <row r="1" spans="1: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spans="1:5">
      <c r="A2" t="s">
        <v>5</v>
      </c>
      <c r="B2">
        <v>3.02130164403049</v>
      </c>
      <c r="C2">
        <v>3.21089835895079</v>
      </c>
      <c r="D2">
        <v>3.16561198403796</v>
      </c>
      <c r="E2" t="s">
        <v>6</v>
      </c>
    </row>
    <row r="3" spans="1:5">
      <c r="A3" t="s">
        <v>7</v>
      </c>
      <c r="B3">
        <v>1.40904826964326</v>
      </c>
      <c r="C3">
        <v>1.49784085853543</v>
      </c>
      <c r="D3">
        <v>1.48790253923244</v>
      </c>
      <c r="E3" t="s">
        <v>6</v>
      </c>
    </row>
    <row r="4" spans="1:5">
      <c r="A4" t="s">
        <v>8</v>
      </c>
      <c r="B4">
        <v>1.98572365565639</v>
      </c>
      <c r="C4">
        <v>2.11043076588959</v>
      </c>
      <c r="D4">
        <v>2.0852131258632</v>
      </c>
      <c r="E4" t="s">
        <v>6</v>
      </c>
    </row>
    <row r="5" spans="1:5">
      <c r="A5" t="s">
        <v>9</v>
      </c>
      <c r="B5">
        <v>1.39127182201021</v>
      </c>
      <c r="C5">
        <v>1.47868854114608</v>
      </c>
      <c r="D5">
        <v>1.46454805647263</v>
      </c>
      <c r="E5" t="s">
        <v>6</v>
      </c>
    </row>
    <row r="6" spans="1:5">
      <c r="A6" t="s">
        <v>10</v>
      </c>
      <c r="B6">
        <v>1.97446821863204</v>
      </c>
      <c r="C6">
        <v>2.09849323664708</v>
      </c>
      <c r="D6">
        <v>2.07401168764614</v>
      </c>
      <c r="E6" t="s">
        <v>6</v>
      </c>
    </row>
    <row r="7" spans="1:5">
      <c r="A7" t="s">
        <v>5</v>
      </c>
      <c r="B7">
        <v>3.37697400148211</v>
      </c>
      <c r="C7">
        <v>3.5888958715167</v>
      </c>
      <c r="D7">
        <v>3.56985383735165</v>
      </c>
      <c r="E7" t="s">
        <v>11</v>
      </c>
    </row>
    <row r="8" spans="1:5">
      <c r="A8" t="s">
        <v>7</v>
      </c>
      <c r="B8">
        <v>1.30843429368346</v>
      </c>
      <c r="C8">
        <v>1.39244701322149</v>
      </c>
      <c r="D8">
        <v>1.38927518502753</v>
      </c>
      <c r="E8" t="s">
        <v>11</v>
      </c>
    </row>
    <row r="9" spans="1:5">
      <c r="A9" t="s">
        <v>8</v>
      </c>
      <c r="B9">
        <v>2.47054841895458</v>
      </c>
      <c r="C9">
        <v>2.62653962074118</v>
      </c>
      <c r="D9">
        <v>2.61628396927084</v>
      </c>
      <c r="E9" t="s">
        <v>11</v>
      </c>
    </row>
    <row r="10" spans="1:5">
      <c r="A10" t="s">
        <v>9</v>
      </c>
      <c r="B10">
        <v>2.04507629317773</v>
      </c>
      <c r="C10">
        <v>2.17536714916474</v>
      </c>
      <c r="D10">
        <v>2.17010178564794</v>
      </c>
      <c r="E10" t="s">
        <v>11</v>
      </c>
    </row>
    <row r="11" spans="1:5">
      <c r="A11" t="s">
        <v>10</v>
      </c>
      <c r="B11">
        <v>2.31779164539377</v>
      </c>
      <c r="C11">
        <v>2.46445737254774</v>
      </c>
      <c r="D11">
        <v>2.4551642003906</v>
      </c>
      <c r="E1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workbookViewId="0">
      <selection activeCell="F23" sqref="F23"/>
    </sheetView>
  </sheetViews>
  <sheetFormatPr defaultColWidth="9.23076923076923" defaultRowHeight="16.8"/>
  <cols>
    <col min="1" max="1" width="14.2307692307692" customWidth="1"/>
    <col min="2" max="2" width="12.9230769230769"/>
    <col min="3" max="4" width="12.9230769230769" customWidth="1"/>
    <col min="7" max="7" width="11.2115384615385" customWidth="1"/>
    <col min="9" max="11" width="12.9230769230769"/>
    <col min="15" max="15" width="24.5192307692308" style="1" customWidth="1"/>
    <col min="16" max="17" width="18.75" customWidth="1"/>
    <col min="18" max="18" width="16.0192307692308" customWidth="1"/>
  </cols>
  <sheetData>
    <row r="1" s="9" customFormat="1" spans="1:18">
      <c r="A1" s="10" t="s">
        <v>0</v>
      </c>
      <c r="B1" s="11" t="s">
        <v>6</v>
      </c>
      <c r="C1" s="11" t="s">
        <v>11</v>
      </c>
      <c r="D1" s="11" t="s">
        <v>12</v>
      </c>
      <c r="E1" s="10"/>
      <c r="F1" s="11"/>
      <c r="G1" s="11"/>
      <c r="H1" s="16" t="s">
        <v>0</v>
      </c>
      <c r="I1" s="11" t="s">
        <v>6</v>
      </c>
      <c r="J1" s="11" t="s">
        <v>11</v>
      </c>
      <c r="K1" s="11" t="s">
        <v>12</v>
      </c>
      <c r="L1" s="11"/>
      <c r="M1" s="11"/>
      <c r="N1" s="11"/>
      <c r="O1" s="19" t="s">
        <v>0</v>
      </c>
      <c r="P1" s="19" t="s">
        <v>6</v>
      </c>
      <c r="Q1" s="19" t="s">
        <v>11</v>
      </c>
      <c r="R1" s="19" t="s">
        <v>12</v>
      </c>
    </row>
    <row r="2" spans="1:18">
      <c r="A2" s="12" t="s">
        <v>13</v>
      </c>
      <c r="B2" s="12"/>
      <c r="C2" s="12"/>
      <c r="D2" s="12"/>
      <c r="E2" s="17"/>
      <c r="H2" s="12" t="s">
        <v>14</v>
      </c>
      <c r="I2" s="12"/>
      <c r="J2" s="12"/>
      <c r="K2" s="12"/>
      <c r="O2" s="5" t="s">
        <v>14</v>
      </c>
      <c r="P2" s="20"/>
      <c r="Q2" s="20"/>
      <c r="R2" s="20"/>
    </row>
    <row r="3" spans="1:18">
      <c r="A3" s="13" t="s">
        <v>5</v>
      </c>
      <c r="B3">
        <v>3.02130164403049</v>
      </c>
      <c r="C3">
        <v>3.37697400148211</v>
      </c>
      <c r="D3">
        <f>AVERAGE(B3:C3)</f>
        <v>3.1991378227563</v>
      </c>
      <c r="H3" s="13" t="s">
        <v>5</v>
      </c>
      <c r="I3">
        <f>B3*52</f>
        <v>157.107685489585</v>
      </c>
      <c r="J3">
        <f>C3*52</f>
        <v>175.60264807707</v>
      </c>
      <c r="K3">
        <f>D3*52</f>
        <v>166.355166783328</v>
      </c>
      <c r="O3" s="5" t="s">
        <v>15</v>
      </c>
      <c r="P3" s="6">
        <v>157.107685489585</v>
      </c>
      <c r="Q3" s="6">
        <v>175.60264807707</v>
      </c>
      <c r="R3" s="6">
        <v>166.355166783328</v>
      </c>
    </row>
    <row r="4" spans="1:18">
      <c r="A4" s="13" t="s">
        <v>8</v>
      </c>
      <c r="B4">
        <v>1.98572365565639</v>
      </c>
      <c r="C4">
        <v>2.47054841895458</v>
      </c>
      <c r="D4">
        <f t="shared" ref="D4:D19" si="0">AVERAGE(B4:C4)</f>
        <v>2.22813603730548</v>
      </c>
      <c r="H4" s="13" t="s">
        <v>8</v>
      </c>
      <c r="I4">
        <f>B4*52</f>
        <v>103.257630094132</v>
      </c>
      <c r="J4">
        <f>C4*52</f>
        <v>128.468517785638</v>
      </c>
      <c r="K4">
        <f>D4*52</f>
        <v>115.863073939885</v>
      </c>
      <c r="O4" s="5" t="s">
        <v>16</v>
      </c>
      <c r="P4" s="6">
        <v>103.257630094132</v>
      </c>
      <c r="Q4" s="6">
        <v>128.468517785638</v>
      </c>
      <c r="R4" s="6">
        <v>115.863073939885</v>
      </c>
    </row>
    <row r="5" spans="1:18">
      <c r="A5" s="13" t="s">
        <v>9</v>
      </c>
      <c r="B5">
        <v>1.39127182201021</v>
      </c>
      <c r="C5">
        <v>2.04507629317773</v>
      </c>
      <c r="D5">
        <f t="shared" si="0"/>
        <v>1.71817405759397</v>
      </c>
      <c r="H5" s="13" t="s">
        <v>9</v>
      </c>
      <c r="I5">
        <f>B5*52</f>
        <v>72.3461347445309</v>
      </c>
      <c r="J5">
        <f>C5*52</f>
        <v>106.343967245242</v>
      </c>
      <c r="K5">
        <f>D5*52</f>
        <v>89.3450509948864</v>
      </c>
      <c r="O5" s="5" t="s">
        <v>17</v>
      </c>
      <c r="P5" s="6">
        <v>72.3461347445309</v>
      </c>
      <c r="Q5" s="6">
        <v>106.343967245242</v>
      </c>
      <c r="R5" s="6">
        <v>89.3450509948864</v>
      </c>
    </row>
    <row r="6" spans="1:18">
      <c r="A6" s="13" t="s">
        <v>7</v>
      </c>
      <c r="B6">
        <v>1.40904826964326</v>
      </c>
      <c r="C6">
        <v>1.30843429368346</v>
      </c>
      <c r="D6">
        <f t="shared" si="0"/>
        <v>1.35874128166336</v>
      </c>
      <c r="H6" s="13" t="s">
        <v>7</v>
      </c>
      <c r="I6">
        <f>B6*52</f>
        <v>73.2705100214495</v>
      </c>
      <c r="J6">
        <f>C6*52</f>
        <v>68.0385832715399</v>
      </c>
      <c r="K6">
        <f>D6*52</f>
        <v>70.6545466464947</v>
      </c>
      <c r="O6" s="5" t="s">
        <v>18</v>
      </c>
      <c r="P6" s="6">
        <v>73.2705100214495</v>
      </c>
      <c r="Q6" s="6">
        <v>68.0385832715399</v>
      </c>
      <c r="R6" s="6">
        <v>70.6545466464947</v>
      </c>
    </row>
    <row r="7" spans="1:18">
      <c r="A7" s="13" t="s">
        <v>10</v>
      </c>
      <c r="B7">
        <v>1.97446821863204</v>
      </c>
      <c r="C7">
        <v>2.31779164539377</v>
      </c>
      <c r="D7">
        <f t="shared" si="0"/>
        <v>2.14612993201291</v>
      </c>
      <c r="H7" s="13" t="s">
        <v>10</v>
      </c>
      <c r="I7">
        <f>B7*52</f>
        <v>102.672347368866</v>
      </c>
      <c r="J7">
        <f>C7*52</f>
        <v>120.525165560476</v>
      </c>
      <c r="K7">
        <f>D7*52</f>
        <v>111.598756464671</v>
      </c>
      <c r="O7" s="5" t="s">
        <v>12</v>
      </c>
      <c r="P7" s="6">
        <v>102.672347368866</v>
      </c>
      <c r="Q7" s="6">
        <v>120.525165560476</v>
      </c>
      <c r="R7" s="6">
        <v>111.598756464671</v>
      </c>
    </row>
    <row r="8" spans="1:18">
      <c r="A8" s="12" t="s">
        <v>19</v>
      </c>
      <c r="B8" s="12"/>
      <c r="C8" s="12"/>
      <c r="H8" s="12" t="s">
        <v>19</v>
      </c>
      <c r="I8" s="12"/>
      <c r="J8" s="12"/>
      <c r="K8" s="12"/>
      <c r="O8" s="5" t="s">
        <v>20</v>
      </c>
      <c r="P8" s="20"/>
      <c r="Q8" s="20"/>
      <c r="R8" s="20"/>
    </row>
    <row r="9" spans="1:18">
      <c r="A9" s="13" t="s">
        <v>5</v>
      </c>
      <c r="B9">
        <v>3.21089835895079</v>
      </c>
      <c r="C9">
        <v>3.5888958715167</v>
      </c>
      <c r="D9">
        <f t="shared" si="0"/>
        <v>3.39989711523374</v>
      </c>
      <c r="H9" s="13" t="s">
        <v>5</v>
      </c>
      <c r="I9">
        <f>B9*52</f>
        <v>166.966714665441</v>
      </c>
      <c r="J9">
        <f>C9*52</f>
        <v>186.622585318868</v>
      </c>
      <c r="K9">
        <f>D9*52</f>
        <v>176.794649992155</v>
      </c>
      <c r="O9" s="5" t="s">
        <v>15</v>
      </c>
      <c r="P9" s="21">
        <f>(I15-I3)/I3</f>
        <v>0.0477642940063926</v>
      </c>
      <c r="Q9" s="21">
        <f>(J15-J3)/J3</f>
        <v>0.0571161743575425</v>
      </c>
      <c r="R9" s="21">
        <f>(K15-K3)/K3</f>
        <v>0.0527001640064533</v>
      </c>
    </row>
    <row r="10" spans="1:18">
      <c r="A10" s="13" t="s">
        <v>8</v>
      </c>
      <c r="B10">
        <v>2.11043076588959</v>
      </c>
      <c r="C10">
        <v>2.62653962074118</v>
      </c>
      <c r="D10">
        <f t="shared" si="0"/>
        <v>2.36848519331538</v>
      </c>
      <c r="H10" s="13" t="s">
        <v>8</v>
      </c>
      <c r="I10">
        <f>B10*52</f>
        <v>109.742399826259</v>
      </c>
      <c r="J10">
        <f>C10*52</f>
        <v>136.580060278541</v>
      </c>
      <c r="K10">
        <f>D10*52</f>
        <v>123.1612300524</v>
      </c>
      <c r="O10" s="5" t="s">
        <v>16</v>
      </c>
      <c r="P10" s="21">
        <f>(I16-I4)/I4</f>
        <v>0.0501023744786498</v>
      </c>
      <c r="Q10" s="21">
        <f>(J16-J4)/J4</f>
        <v>0.0589891496147761</v>
      </c>
      <c r="R10" s="21">
        <f>(K16-K4)/K4</f>
        <v>0.055029185026697</v>
      </c>
    </row>
    <row r="11" spans="1:18">
      <c r="A11" s="13" t="s">
        <v>9</v>
      </c>
      <c r="B11">
        <v>1.47868854114608</v>
      </c>
      <c r="C11">
        <v>2.17536714916474</v>
      </c>
      <c r="D11">
        <f t="shared" si="0"/>
        <v>1.82702784515541</v>
      </c>
      <c r="H11" s="13" t="s">
        <v>9</v>
      </c>
      <c r="I11">
        <f>B11*52</f>
        <v>76.8918041395962</v>
      </c>
      <c r="J11">
        <f>C11*52</f>
        <v>113.119091756566</v>
      </c>
      <c r="K11">
        <f>D11*52</f>
        <v>95.0054479480813</v>
      </c>
      <c r="O11" s="5" t="s">
        <v>17</v>
      </c>
      <c r="P11" s="21">
        <f>(I17-I5)/I5</f>
        <v>0.0526685248009589</v>
      </c>
      <c r="Q11" s="21">
        <f>(J17-J5)/J5</f>
        <v>0.0611348793623438</v>
      </c>
      <c r="R11" s="21">
        <f>(K17-K5)/K5</f>
        <v>0.0577071124011499</v>
      </c>
    </row>
    <row r="12" spans="1:18">
      <c r="A12" s="13" t="s">
        <v>7</v>
      </c>
      <c r="B12">
        <v>1.49784085853543</v>
      </c>
      <c r="C12">
        <v>1.39244701322149</v>
      </c>
      <c r="D12">
        <f t="shared" si="0"/>
        <v>1.44514393587846</v>
      </c>
      <c r="H12" s="13" t="s">
        <v>7</v>
      </c>
      <c r="I12">
        <f>B12*52</f>
        <v>77.8877246438424</v>
      </c>
      <c r="J12">
        <f>C12*52</f>
        <v>72.4072446875175</v>
      </c>
      <c r="K12">
        <f>D12*52</f>
        <v>75.1474846656799</v>
      </c>
      <c r="O12" s="5" t="s">
        <v>18</v>
      </c>
      <c r="P12" s="21">
        <f>(I18-I6)/I6</f>
        <v>0.0559627879952929</v>
      </c>
      <c r="Q12" s="21">
        <f>(J18-J6)/J6</f>
        <v>0.0617844485843377</v>
      </c>
      <c r="R12" s="21">
        <f>(K18-K6)/K6</f>
        <v>0.0587658456721622</v>
      </c>
    </row>
    <row r="13" spans="1:18">
      <c r="A13" s="13" t="s">
        <v>10</v>
      </c>
      <c r="B13">
        <v>2.09849323664708</v>
      </c>
      <c r="C13">
        <v>2.46445737254774</v>
      </c>
      <c r="D13">
        <f t="shared" si="0"/>
        <v>2.28147530459741</v>
      </c>
      <c r="H13" s="13" t="s">
        <v>10</v>
      </c>
      <c r="I13">
        <f>B13*52</f>
        <v>109.121648305648</v>
      </c>
      <c r="J13">
        <f>C13*52</f>
        <v>128.151783372482</v>
      </c>
      <c r="K13">
        <f>D13*52</f>
        <v>118.636715839065</v>
      </c>
      <c r="O13" s="22" t="s">
        <v>12</v>
      </c>
      <c r="P13" s="23">
        <f>(I19-I7)/I7</f>
        <v>0.0504153311128332</v>
      </c>
      <c r="Q13" s="23">
        <f>(J19-J7)/J7</f>
        <v>0.0592687247233095</v>
      </c>
      <c r="R13" s="23">
        <f>(K19-K7)/K7</f>
        <v>0.0551961045034958</v>
      </c>
    </row>
    <row r="14" spans="1:18">
      <c r="A14" s="12" t="s">
        <v>21</v>
      </c>
      <c r="B14" s="12"/>
      <c r="C14" s="12"/>
      <c r="H14" s="12" t="s">
        <v>21</v>
      </c>
      <c r="I14" s="12"/>
      <c r="J14" s="12"/>
      <c r="K14" s="18"/>
      <c r="O14" s="5" t="s">
        <v>22</v>
      </c>
      <c r="P14" s="20"/>
      <c r="Q14" s="20"/>
      <c r="R14" s="20"/>
    </row>
    <row r="15" spans="1:18">
      <c r="A15" s="13" t="s">
        <v>5</v>
      </c>
      <c r="B15">
        <v>3.16561198403796</v>
      </c>
      <c r="C15">
        <v>3.56985383735165</v>
      </c>
      <c r="D15">
        <f t="shared" si="0"/>
        <v>3.3677329106948</v>
      </c>
      <c r="H15" s="13" t="s">
        <v>5</v>
      </c>
      <c r="I15">
        <f>B15*52</f>
        <v>164.611823169974</v>
      </c>
      <c r="J15">
        <f>C15*52</f>
        <v>185.632399542286</v>
      </c>
      <c r="K15">
        <f>D15*52</f>
        <v>175.12211135613</v>
      </c>
      <c r="O15" s="5" t="s">
        <v>15</v>
      </c>
      <c r="P15" s="21">
        <f>(I9-I3)/I3</f>
        <v>0.0627533219977906</v>
      </c>
      <c r="Q15" s="21">
        <f>(J9-J3)/J3</f>
        <v>0.0627549604887631</v>
      </c>
      <c r="R15" s="21">
        <f>(K9-K3)/K3</f>
        <v>0.0627541867841366</v>
      </c>
    </row>
    <row r="16" spans="1:18">
      <c r="A16" s="13" t="s">
        <v>8</v>
      </c>
      <c r="B16">
        <v>2.0852131258632</v>
      </c>
      <c r="C16">
        <v>2.61628396927084</v>
      </c>
      <c r="D16">
        <f t="shared" si="0"/>
        <v>2.35074854756702</v>
      </c>
      <c r="H16" s="13" t="s">
        <v>8</v>
      </c>
      <c r="I16">
        <f>B16*52</f>
        <v>108.431082544886</v>
      </c>
      <c r="J16">
        <f>C16*52</f>
        <v>136.046766402084</v>
      </c>
      <c r="K16">
        <f>D16*52</f>
        <v>122.238924473485</v>
      </c>
      <c r="O16" s="5" t="s">
        <v>16</v>
      </c>
      <c r="P16" s="21">
        <f>(I10-I4)/I4</f>
        <v>0.0628018455025039</v>
      </c>
      <c r="Q16" s="21">
        <f>(J10-J4)/J4</f>
        <v>0.0631403135392136</v>
      </c>
      <c r="R16" s="21">
        <f>(K10-K4)/K4</f>
        <v>0.0629894915122085</v>
      </c>
    </row>
    <row r="17" spans="1:18">
      <c r="A17" s="13" t="s">
        <v>9</v>
      </c>
      <c r="B17">
        <v>1.46454805647263</v>
      </c>
      <c r="C17">
        <v>2.17010178564794</v>
      </c>
      <c r="D17">
        <f t="shared" si="0"/>
        <v>1.81732492106029</v>
      </c>
      <c r="H17" s="13" t="s">
        <v>9</v>
      </c>
      <c r="I17">
        <f>B17*52</f>
        <v>76.1564989365768</v>
      </c>
      <c r="J17">
        <f>C17*52</f>
        <v>112.845292853693</v>
      </c>
      <c r="K17">
        <f>D17*52</f>
        <v>94.5008958951348</v>
      </c>
      <c r="O17" s="5" t="s">
        <v>17</v>
      </c>
      <c r="P17" s="21">
        <f>(I11-I5)/I5</f>
        <v>0.0628322357665261</v>
      </c>
      <c r="Q17" s="21">
        <f>(J11-J5)/J5</f>
        <v>0.0637095331952426</v>
      </c>
      <c r="R17" s="21">
        <f>(K11-K5)/K5</f>
        <v>0.0633543424080519</v>
      </c>
    </row>
    <row r="18" spans="1:18">
      <c r="A18" s="13" t="s">
        <v>7</v>
      </c>
      <c r="B18">
        <v>1.48790253923244</v>
      </c>
      <c r="C18">
        <v>1.38927518502753</v>
      </c>
      <c r="D18">
        <f t="shared" si="0"/>
        <v>1.43858886212998</v>
      </c>
      <c r="H18" s="13" t="s">
        <v>7</v>
      </c>
      <c r="I18">
        <f>B18*52</f>
        <v>77.3709320400869</v>
      </c>
      <c r="J18">
        <f>C18*52</f>
        <v>72.2423096214316</v>
      </c>
      <c r="K18">
        <f>D18*52</f>
        <v>74.8066208307592</v>
      </c>
      <c r="O18" s="5" t="s">
        <v>18</v>
      </c>
      <c r="P18" s="21">
        <f>(I12-I6)/I6</f>
        <v>0.0630160022230113</v>
      </c>
      <c r="Q18" s="21">
        <f>(J12-J6)/J6</f>
        <v>0.0642085888023618</v>
      </c>
      <c r="R18" s="21">
        <f>(K12-K6)/K6</f>
        <v>0.0635902179326784</v>
      </c>
    </row>
    <row r="19" spans="1:18">
      <c r="A19" s="14" t="s">
        <v>10</v>
      </c>
      <c r="B19" s="15">
        <v>2.07401168764614</v>
      </c>
      <c r="C19" s="15">
        <v>2.4551642003906</v>
      </c>
      <c r="D19" s="15">
        <f t="shared" si="0"/>
        <v>2.26458794401837</v>
      </c>
      <c r="E19" s="15"/>
      <c r="F19" s="15"/>
      <c r="G19" s="15"/>
      <c r="H19" s="14" t="s">
        <v>10</v>
      </c>
      <c r="I19" s="15">
        <f>B19*52</f>
        <v>107.848607757599</v>
      </c>
      <c r="J19" s="15">
        <f>C19*52</f>
        <v>127.668538420311</v>
      </c>
      <c r="K19" s="15">
        <f>D19*52</f>
        <v>117.758573088955</v>
      </c>
      <c r="L19" s="15"/>
      <c r="M19" s="15"/>
      <c r="N19" s="15"/>
      <c r="O19" s="7" t="s">
        <v>12</v>
      </c>
      <c r="P19" s="24">
        <f>(I13-I7)/I7</f>
        <v>0.0628143906519639</v>
      </c>
      <c r="Q19" s="24">
        <f>(J13-J7)/J7</f>
        <v>0.0632782189225008</v>
      </c>
      <c r="R19" s="24">
        <f>(K13-K7)/K7</f>
        <v>0.0630648548187207</v>
      </c>
    </row>
  </sheetData>
  <mergeCells count="3">
    <mergeCell ref="O2:R2"/>
    <mergeCell ref="O8:R8"/>
    <mergeCell ref="O14:R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G20" sqref="G20"/>
    </sheetView>
  </sheetViews>
  <sheetFormatPr defaultColWidth="9.23076923076923" defaultRowHeight="16.8" outlineLevelCol="3"/>
  <cols>
    <col min="1" max="1" width="16.9230769230769" style="1" customWidth="1"/>
  </cols>
  <sheetData>
    <row r="1" ht="17.55" spans="1:4">
      <c r="A1" s="2"/>
      <c r="B1" s="3" t="s">
        <v>23</v>
      </c>
      <c r="C1" s="3"/>
      <c r="D1" s="3"/>
    </row>
    <row r="2" spans="1:4">
      <c r="A2" s="4" t="s">
        <v>24</v>
      </c>
      <c r="B2" s="4" t="s">
        <v>6</v>
      </c>
      <c r="C2" s="4" t="s">
        <v>11</v>
      </c>
      <c r="D2" s="4" t="s">
        <v>25</v>
      </c>
    </row>
    <row r="3" spans="1:4">
      <c r="A3" s="5" t="s">
        <v>26</v>
      </c>
      <c r="B3" s="6">
        <v>4.37</v>
      </c>
      <c r="C3" s="6">
        <v>7.2504</v>
      </c>
      <c r="D3" s="6">
        <v>4.1824</v>
      </c>
    </row>
    <row r="4" spans="1:4">
      <c r="A4" s="5" t="s">
        <v>27</v>
      </c>
      <c r="B4" s="6">
        <v>-2.2382</v>
      </c>
      <c r="C4" s="6">
        <v>-1.6621</v>
      </c>
      <c r="D4" s="6">
        <v>-2.3762</v>
      </c>
    </row>
    <row r="5" spans="1:4">
      <c r="A5" s="5" t="s">
        <v>28</v>
      </c>
      <c r="B5" s="6">
        <v>-0.6634</v>
      </c>
      <c r="C5" s="6">
        <v>-1.1627</v>
      </c>
      <c r="D5" s="6">
        <v>-0.6908</v>
      </c>
    </row>
    <row r="6" spans="1:4">
      <c r="A6" s="5" t="s">
        <v>29</v>
      </c>
      <c r="B6" s="6">
        <v>-0.9802</v>
      </c>
      <c r="C6" s="6">
        <v>-0.888</v>
      </c>
      <c r="D6" s="6">
        <v>-0.9974</v>
      </c>
    </row>
    <row r="7" spans="1:4">
      <c r="A7" s="5" t="s">
        <v>30</v>
      </c>
      <c r="B7" s="6">
        <v>0.0895</v>
      </c>
      <c r="C7" s="6">
        <v>0.1368</v>
      </c>
      <c r="D7" s="6">
        <v>0.0941</v>
      </c>
    </row>
    <row r="8" spans="1:4">
      <c r="A8" s="5" t="s">
        <v>31</v>
      </c>
      <c r="B8" s="6">
        <v>0.0931</v>
      </c>
      <c r="C8" s="6">
        <v>0.0383</v>
      </c>
      <c r="D8" s="6">
        <v>0.1021</v>
      </c>
    </row>
    <row r="9" spans="1:4">
      <c r="A9" s="5" t="s">
        <v>32</v>
      </c>
      <c r="B9" s="6">
        <v>0.4761</v>
      </c>
      <c r="C9" s="6">
        <v>0.4194</v>
      </c>
      <c r="D9" s="6">
        <v>0.4737</v>
      </c>
    </row>
    <row r="10" ht="17.55" spans="1:4">
      <c r="A10" s="7" t="s">
        <v>33</v>
      </c>
      <c r="B10" s="8">
        <v>0.4594</v>
      </c>
      <c r="C10" s="8">
        <v>0.2169</v>
      </c>
      <c r="D10" s="8">
        <v>0.4357</v>
      </c>
    </row>
    <row r="11" ht="17.55"/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Tax_Burden</vt:lpstr>
      <vt:lpstr>Tax_Burden_byYear</vt:lpstr>
      <vt:lpstr>Coef.Value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WPS_1663493508</cp:lastModifiedBy>
  <dcterms:created xsi:type="dcterms:W3CDTF">2025-11-30T00:18:00Z</dcterms:created>
  <dcterms:modified xsi:type="dcterms:W3CDTF">2025-12-02T22:16:36Z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C3F9C13E81667DBA04E02C697165CE7D_43</vt:lpwstr>
  </property>
  <property fmtid="{D5CDD505-2E9C-101B-9397-08002B2CF9AE}" pid="3" name="KSOProductBuildVer">
    <vt:lpwstr>2052-6.2.2.8394</vt:lpwstr>
  </property>
</Properties>
</file>