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iu/Desktop/"/>
    </mc:Choice>
  </mc:AlternateContent>
  <xr:revisionPtr revIDLastSave="0" documentId="13_ncr:1_{843C8A63-C1E1-5F4F-91FE-1EB4F1020F85}" xr6:coauthVersionLast="47" xr6:coauthVersionMax="47" xr10:uidLastSave="{00000000-0000-0000-0000-000000000000}"/>
  <bookViews>
    <workbookView xWindow="4060" yWindow="620" windowWidth="33600" windowHeight="19100" activeTab="1" xr2:uid="{00000000-000D-0000-FFFF-FFFF00000000}"/>
  </bookViews>
  <sheets>
    <sheet name="Result Summary (Translog) (2)" sheetId="12" r:id="rId1"/>
    <sheet name="Translog Model (NEW)" sheetId="10" r:id="rId2"/>
    <sheet name="X-Result Summary (Translog)" sheetId="11" r:id="rId3"/>
    <sheet name="X-Result Summary" sheetId="5" r:id="rId4"/>
    <sheet name="X-Old Income Group" sheetId="6" r:id="rId5"/>
    <sheet name="Scenario 4" sheetId="7" r:id="rId6"/>
    <sheet name="Scenario 3+4" sheetId="9" r:id="rId7"/>
    <sheet name="Scenario 3" sheetId="8" r:id="rId8"/>
    <sheet name="Income Category (DO NOT USE)" sheetId="1" r:id="rId9"/>
    <sheet name="Region Category (DO NOT USE)" sheetId="4" r:id="rId10"/>
  </sheets>
  <definedNames>
    <definedName name="_xlnm.Print_Area" localSheetId="0">'Result Summary (Translog) (2)'!$A$1:$P$25</definedName>
    <definedName name="_xlnm.Print_Area" localSheetId="1">'Translog Model (NEW)'!$A$1:$AN$33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2" l="1"/>
  <c r="F48" i="12"/>
  <c r="G48" i="12"/>
  <c r="H48" i="12"/>
  <c r="I48" i="12"/>
  <c r="J48" i="12"/>
  <c r="K48" i="12"/>
  <c r="E49" i="12"/>
  <c r="F49" i="12"/>
  <c r="G49" i="12"/>
  <c r="H49" i="12"/>
  <c r="I49" i="12"/>
  <c r="J49" i="12"/>
  <c r="K49" i="12"/>
  <c r="E50" i="12"/>
  <c r="F50" i="12"/>
  <c r="G50" i="12"/>
  <c r="H50" i="12"/>
  <c r="I50" i="12"/>
  <c r="J50" i="12"/>
  <c r="K50" i="12"/>
  <c r="E44" i="12"/>
  <c r="F44" i="12"/>
  <c r="G44" i="12"/>
  <c r="H44" i="12"/>
  <c r="I44" i="12"/>
  <c r="J44" i="12"/>
  <c r="K44" i="12"/>
  <c r="E45" i="12"/>
  <c r="F45" i="12"/>
  <c r="G45" i="12"/>
  <c r="H45" i="12"/>
  <c r="I45" i="12"/>
  <c r="J45" i="12"/>
  <c r="K45" i="12"/>
  <c r="E46" i="12"/>
  <c r="F46" i="12"/>
  <c r="G46" i="12"/>
  <c r="H46" i="12"/>
  <c r="I46" i="12"/>
  <c r="J46" i="12"/>
  <c r="K46" i="12"/>
  <c r="E40" i="12"/>
  <c r="F40" i="12"/>
  <c r="G40" i="12"/>
  <c r="H40" i="12"/>
  <c r="I40" i="12"/>
  <c r="J40" i="12"/>
  <c r="K40" i="12"/>
  <c r="E41" i="12"/>
  <c r="F41" i="12"/>
  <c r="G41" i="12"/>
  <c r="H41" i="12"/>
  <c r="I41" i="12"/>
  <c r="J41" i="12"/>
  <c r="K41" i="12"/>
  <c r="E42" i="12"/>
  <c r="F42" i="12"/>
  <c r="G42" i="12"/>
  <c r="H42" i="12"/>
  <c r="I42" i="12"/>
  <c r="J42" i="12"/>
  <c r="K42" i="12"/>
  <c r="E36" i="12"/>
  <c r="F36" i="12"/>
  <c r="G36" i="12"/>
  <c r="H36" i="12"/>
  <c r="I36" i="12"/>
  <c r="J36" i="12"/>
  <c r="K36" i="12"/>
  <c r="E37" i="12"/>
  <c r="F37" i="12"/>
  <c r="G37" i="12"/>
  <c r="H37" i="12"/>
  <c r="I37" i="12"/>
  <c r="J37" i="12"/>
  <c r="K37" i="12"/>
  <c r="E38" i="12"/>
  <c r="F38" i="12"/>
  <c r="G38" i="12"/>
  <c r="H38" i="12"/>
  <c r="I38" i="12"/>
  <c r="J38" i="12"/>
  <c r="K38" i="12"/>
  <c r="E32" i="12"/>
  <c r="F32" i="12"/>
  <c r="G32" i="12"/>
  <c r="H32" i="12"/>
  <c r="I32" i="12"/>
  <c r="J32" i="12"/>
  <c r="K32" i="12"/>
  <c r="E33" i="12"/>
  <c r="F33" i="12"/>
  <c r="G33" i="12"/>
  <c r="H33" i="12"/>
  <c r="I33" i="12"/>
  <c r="J33" i="12"/>
  <c r="K33" i="12"/>
  <c r="E34" i="12"/>
  <c r="F34" i="12"/>
  <c r="G34" i="12"/>
  <c r="H34" i="12"/>
  <c r="I34" i="12"/>
  <c r="J34" i="12"/>
  <c r="K34" i="12"/>
  <c r="F31" i="12"/>
  <c r="G31" i="12"/>
  <c r="H31" i="12"/>
  <c r="I31" i="12"/>
  <c r="J31" i="12"/>
  <c r="K31" i="12"/>
  <c r="L31" i="12"/>
  <c r="F35" i="12"/>
  <c r="G35" i="12"/>
  <c r="H35" i="12"/>
  <c r="I35" i="12"/>
  <c r="J35" i="12"/>
  <c r="K35" i="12"/>
  <c r="L35" i="12"/>
  <c r="F39" i="12"/>
  <c r="G39" i="12"/>
  <c r="H39" i="12"/>
  <c r="I39" i="12"/>
  <c r="J39" i="12"/>
  <c r="K39" i="12"/>
  <c r="L39" i="12"/>
  <c r="F43" i="12"/>
  <c r="G43" i="12"/>
  <c r="H43" i="12"/>
  <c r="I43" i="12"/>
  <c r="J43" i="12"/>
  <c r="K43" i="12"/>
  <c r="L43" i="12"/>
  <c r="F47" i="12"/>
  <c r="G47" i="12"/>
  <c r="H47" i="12"/>
  <c r="I47" i="12"/>
  <c r="J47" i="12"/>
  <c r="K47" i="12"/>
  <c r="L47" i="12"/>
  <c r="E47" i="12"/>
  <c r="E43" i="12"/>
  <c r="E39" i="12"/>
  <c r="E35" i="12"/>
  <c r="E31" i="12"/>
  <c r="AB13" i="10"/>
  <c r="W13" i="10"/>
  <c r="E28" i="12"/>
  <c r="F28" i="12"/>
  <c r="I28" i="12"/>
  <c r="J28" i="12"/>
  <c r="E29" i="12"/>
  <c r="F29" i="12"/>
  <c r="I29" i="12"/>
  <c r="J29" i="12"/>
  <c r="E30" i="12"/>
  <c r="F30" i="12"/>
  <c r="I30" i="12"/>
  <c r="J30" i="12"/>
  <c r="I27" i="12"/>
  <c r="J27" i="12"/>
  <c r="F27" i="12"/>
  <c r="E27" i="12"/>
  <c r="F4" i="12"/>
  <c r="V18" i="10"/>
  <c r="V19" i="10"/>
  <c r="V20" i="10"/>
  <c r="V17" i="10"/>
  <c r="V10" i="10"/>
  <c r="V9" i="10"/>
  <c r="V8" i="10"/>
  <c r="V7" i="10"/>
  <c r="L33" i="10"/>
  <c r="M28" i="10"/>
  <c r="M29" i="10"/>
  <c r="M30" i="10"/>
  <c r="L28" i="10"/>
  <c r="L29" i="10"/>
  <c r="L30" i="10"/>
  <c r="L27" i="10"/>
  <c r="M27" i="10"/>
  <c r="H27" i="10"/>
  <c r="H17" i="10"/>
  <c r="G5" i="12"/>
  <c r="G4" i="12"/>
  <c r="W18" i="10"/>
  <c r="M15" i="11"/>
  <c r="W8" i="10"/>
  <c r="M17" i="11"/>
  <c r="H4" i="12"/>
  <c r="K24" i="12"/>
  <c r="I24" i="12"/>
  <c r="G24" i="12"/>
  <c r="E24" i="12"/>
  <c r="D24" i="12"/>
  <c r="K23" i="12"/>
  <c r="F23" i="12"/>
  <c r="E23" i="12"/>
  <c r="D23" i="12"/>
  <c r="K22" i="12"/>
  <c r="F22" i="12"/>
  <c r="E22" i="12"/>
  <c r="D22" i="12"/>
  <c r="K21" i="12"/>
  <c r="F21" i="12"/>
  <c r="E21" i="12"/>
  <c r="D21" i="12"/>
  <c r="O20" i="12"/>
  <c r="K20" i="12"/>
  <c r="F20" i="12"/>
  <c r="E20" i="12"/>
  <c r="D20" i="12"/>
  <c r="K19" i="12"/>
  <c r="I19" i="12"/>
  <c r="G19" i="12"/>
  <c r="E19" i="12"/>
  <c r="D19" i="12"/>
  <c r="M18" i="12"/>
  <c r="K18" i="12"/>
  <c r="I18" i="12"/>
  <c r="F18" i="12"/>
  <c r="E18" i="12"/>
  <c r="D18" i="12"/>
  <c r="M17" i="12"/>
  <c r="K17" i="12"/>
  <c r="I17" i="12"/>
  <c r="F17" i="12"/>
  <c r="E17" i="12"/>
  <c r="D17" i="12"/>
  <c r="M16" i="12"/>
  <c r="K16" i="12"/>
  <c r="I16" i="12"/>
  <c r="G16" i="12"/>
  <c r="F16" i="12"/>
  <c r="E16" i="12"/>
  <c r="D16" i="12"/>
  <c r="O15" i="12"/>
  <c r="K15" i="12"/>
  <c r="I15" i="12"/>
  <c r="H15" i="12"/>
  <c r="F15" i="12"/>
  <c r="E15" i="12"/>
  <c r="D15" i="12"/>
  <c r="K14" i="12"/>
  <c r="I14" i="12"/>
  <c r="G14" i="12"/>
  <c r="E14" i="12"/>
  <c r="D14" i="12"/>
  <c r="K13" i="12"/>
  <c r="F13" i="12"/>
  <c r="E13" i="12"/>
  <c r="D13" i="12"/>
  <c r="K12" i="12"/>
  <c r="F12" i="12"/>
  <c r="E12" i="12"/>
  <c r="D12" i="12"/>
  <c r="K11" i="12"/>
  <c r="I11" i="12"/>
  <c r="G11" i="12"/>
  <c r="F11" i="12"/>
  <c r="E11" i="12"/>
  <c r="D11" i="12"/>
  <c r="O10" i="12"/>
  <c r="K10" i="12"/>
  <c r="H10" i="12"/>
  <c r="F10" i="12"/>
  <c r="E10" i="12"/>
  <c r="D10" i="12"/>
  <c r="F5" i="12"/>
  <c r="F6" i="12" s="1"/>
  <c r="J4" i="12"/>
  <c r="I4" i="12"/>
  <c r="K21" i="11"/>
  <c r="K22" i="11"/>
  <c r="K23" i="11"/>
  <c r="K20" i="11"/>
  <c r="D16" i="11"/>
  <c r="E16" i="11"/>
  <c r="F16" i="11"/>
  <c r="G16" i="11"/>
  <c r="D17" i="11"/>
  <c r="E17" i="11"/>
  <c r="F17" i="11"/>
  <c r="D18" i="11"/>
  <c r="E18" i="11"/>
  <c r="F18" i="11"/>
  <c r="D21" i="11"/>
  <c r="E21" i="11"/>
  <c r="F21" i="11"/>
  <c r="D22" i="11"/>
  <c r="E22" i="11"/>
  <c r="F22" i="11"/>
  <c r="D23" i="11"/>
  <c r="E23" i="11"/>
  <c r="F23" i="11"/>
  <c r="F20" i="11"/>
  <c r="E20" i="11"/>
  <c r="D20" i="11"/>
  <c r="D11" i="11"/>
  <c r="E11" i="11"/>
  <c r="F11" i="11"/>
  <c r="G11" i="11"/>
  <c r="D12" i="11"/>
  <c r="E12" i="11"/>
  <c r="F12" i="11"/>
  <c r="D13" i="11"/>
  <c r="E13" i="11"/>
  <c r="F13" i="11"/>
  <c r="D15" i="11"/>
  <c r="E15" i="11"/>
  <c r="F15" i="11"/>
  <c r="G15" i="11"/>
  <c r="I15" i="11"/>
  <c r="K15" i="11"/>
  <c r="O20" i="11"/>
  <c r="O15" i="11"/>
  <c r="I11" i="11"/>
  <c r="K11" i="11"/>
  <c r="K12" i="11"/>
  <c r="K13" i="11"/>
  <c r="O10" i="11"/>
  <c r="K10" i="11"/>
  <c r="F10" i="11"/>
  <c r="E10" i="11"/>
  <c r="D10" i="11"/>
  <c r="J3" i="11"/>
  <c r="I3" i="11"/>
  <c r="H3" i="11"/>
  <c r="E3" i="11"/>
  <c r="D4" i="11"/>
  <c r="D3" i="11"/>
  <c r="K24" i="11"/>
  <c r="I24" i="11"/>
  <c r="G24" i="11"/>
  <c r="E24" i="11"/>
  <c r="D24" i="11"/>
  <c r="K19" i="11"/>
  <c r="I19" i="11"/>
  <c r="G19" i="11"/>
  <c r="E19" i="11"/>
  <c r="D19" i="11"/>
  <c r="M18" i="11"/>
  <c r="K18" i="11"/>
  <c r="I18" i="11"/>
  <c r="K17" i="11"/>
  <c r="I17" i="11"/>
  <c r="M16" i="11"/>
  <c r="K16" i="11"/>
  <c r="I16" i="11"/>
  <c r="H15" i="11"/>
  <c r="K14" i="11"/>
  <c r="I14" i="11"/>
  <c r="G14" i="11"/>
  <c r="E14" i="11"/>
  <c r="D14" i="11"/>
  <c r="H10" i="11"/>
  <c r="E3" i="5"/>
  <c r="Q33" i="10"/>
  <c r="B33" i="10"/>
  <c r="AJ27" i="10" s="1"/>
  <c r="AK27" i="10" s="1"/>
  <c r="AW27" i="10" s="1"/>
  <c r="B30" i="10"/>
  <c r="C29" i="10"/>
  <c r="D29" i="10" s="1"/>
  <c r="B29" i="10"/>
  <c r="B28" i="10"/>
  <c r="E28" i="10" s="1"/>
  <c r="F28" i="10" s="1"/>
  <c r="C27" i="10"/>
  <c r="D27" i="10" s="1"/>
  <c r="B27" i="10"/>
  <c r="S23" i="10"/>
  <c r="Q23" i="10"/>
  <c r="E23" i="10"/>
  <c r="B23" i="10"/>
  <c r="AJ19" i="10" s="1"/>
  <c r="AK19" i="10" s="1"/>
  <c r="AJ20" i="10"/>
  <c r="Z20" i="10"/>
  <c r="J20" i="10"/>
  <c r="L20" i="10" s="1"/>
  <c r="M20" i="10" s="1"/>
  <c r="O20" i="10" s="1"/>
  <c r="H20" i="10"/>
  <c r="N20" i="10" s="1"/>
  <c r="AF20" i="10" s="1"/>
  <c r="AG20" i="10" s="1"/>
  <c r="F20" i="10"/>
  <c r="T20" i="10" s="1"/>
  <c r="D20" i="10"/>
  <c r="H19" i="10"/>
  <c r="N19" i="10" s="1"/>
  <c r="AF19" i="10" s="1"/>
  <c r="AG19" i="10" s="1"/>
  <c r="F19" i="10"/>
  <c r="I19" i="10" s="1"/>
  <c r="D19" i="10"/>
  <c r="AJ18" i="10"/>
  <c r="AK18" i="10" s="1"/>
  <c r="AW18" i="10" s="1"/>
  <c r="Z18" i="10"/>
  <c r="N18" i="10"/>
  <c r="AF18" i="10" s="1"/>
  <c r="AG18" i="10" s="1"/>
  <c r="H18" i="10"/>
  <c r="H23" i="10" s="1"/>
  <c r="F18" i="10"/>
  <c r="T18" i="10" s="1"/>
  <c r="D18" i="10"/>
  <c r="AK17" i="10"/>
  <c r="AW17" i="10" s="1"/>
  <c r="AJ17" i="10"/>
  <c r="Z17" i="10"/>
  <c r="AA17" i="10" s="1"/>
  <c r="AT17" i="10" s="1"/>
  <c r="N17" i="10"/>
  <c r="AF17" i="10" s="1"/>
  <c r="AG17" i="10" s="1"/>
  <c r="J17" i="10"/>
  <c r="L17" i="10" s="1"/>
  <c r="F17" i="10"/>
  <c r="T17" i="10" s="1"/>
  <c r="D17" i="10"/>
  <c r="S13" i="10"/>
  <c r="Q13" i="10"/>
  <c r="E13" i="10"/>
  <c r="B13" i="10"/>
  <c r="AJ10" i="10"/>
  <c r="Z10" i="10"/>
  <c r="H10" i="10"/>
  <c r="N10" i="10" s="1"/>
  <c r="AF10" i="10" s="1"/>
  <c r="AG10" i="10" s="1"/>
  <c r="F10" i="10"/>
  <c r="D10" i="10"/>
  <c r="AK9" i="10"/>
  <c r="AW9" i="10" s="1"/>
  <c r="AJ9" i="10"/>
  <c r="AF9" i="10"/>
  <c r="AG9" i="10" s="1"/>
  <c r="Z9" i="10"/>
  <c r="N9" i="10"/>
  <c r="H9" i="10"/>
  <c r="F9" i="10"/>
  <c r="J9" i="10" s="1"/>
  <c r="G12" i="11" s="1"/>
  <c r="D9" i="10"/>
  <c r="AK8" i="10"/>
  <c r="AW8" i="10" s="1"/>
  <c r="AJ8" i="10"/>
  <c r="Z8" i="10"/>
  <c r="H8" i="10"/>
  <c r="N8" i="10" s="1"/>
  <c r="AF8" i="10" s="1"/>
  <c r="AG8" i="10" s="1"/>
  <c r="F8" i="10"/>
  <c r="T8" i="10" s="1"/>
  <c r="D8" i="10"/>
  <c r="AK7" i="10"/>
  <c r="AW7" i="10" s="1"/>
  <c r="AJ7" i="10"/>
  <c r="Z7" i="10"/>
  <c r="AA7" i="10" s="1"/>
  <c r="H7" i="10"/>
  <c r="N7" i="10" s="1"/>
  <c r="AF7" i="10" s="1"/>
  <c r="AG7" i="10" s="1"/>
  <c r="F7" i="10"/>
  <c r="D7" i="10"/>
  <c r="AT8" i="6"/>
  <c r="AV8" i="6"/>
  <c r="AW8" i="6"/>
  <c r="AT9" i="6"/>
  <c r="AV9" i="6"/>
  <c r="AW9" i="6"/>
  <c r="AT10" i="6"/>
  <c r="AV10" i="6"/>
  <c r="AW10" i="6"/>
  <c r="AT17" i="6"/>
  <c r="AV17" i="6"/>
  <c r="AW17" i="6"/>
  <c r="AT18" i="6"/>
  <c r="AV18" i="6"/>
  <c r="AW18" i="6"/>
  <c r="AT19" i="6"/>
  <c r="AV19" i="6"/>
  <c r="AW19" i="6"/>
  <c r="AT20" i="6"/>
  <c r="AV20" i="6"/>
  <c r="AW20" i="6"/>
  <c r="AT27" i="6"/>
  <c r="AV27" i="6"/>
  <c r="AW27" i="6"/>
  <c r="AT28" i="6"/>
  <c r="AV28" i="6"/>
  <c r="AW28" i="6"/>
  <c r="AT29" i="6"/>
  <c r="AV29" i="6"/>
  <c r="AW29" i="6"/>
  <c r="AT30" i="6"/>
  <c r="AV30" i="6"/>
  <c r="AW30" i="6"/>
  <c r="AW7" i="6"/>
  <c r="AV7" i="6"/>
  <c r="AT7" i="6"/>
  <c r="K19" i="5"/>
  <c r="I19" i="5"/>
  <c r="K24" i="5"/>
  <c r="I24" i="5"/>
  <c r="G24" i="5"/>
  <c r="G21" i="5"/>
  <c r="G22" i="5"/>
  <c r="G23" i="5"/>
  <c r="I21" i="5"/>
  <c r="K21" i="5"/>
  <c r="I22" i="5"/>
  <c r="K22" i="5"/>
  <c r="I23" i="5"/>
  <c r="K23" i="5"/>
  <c r="K20" i="5"/>
  <c r="I20" i="5"/>
  <c r="G20" i="5"/>
  <c r="O20" i="5"/>
  <c r="O15" i="5"/>
  <c r="I16" i="5"/>
  <c r="K16" i="5"/>
  <c r="M16" i="5"/>
  <c r="I17" i="5"/>
  <c r="K17" i="5"/>
  <c r="M17" i="5"/>
  <c r="I18" i="5"/>
  <c r="K18" i="5"/>
  <c r="M18" i="5"/>
  <c r="M15" i="5"/>
  <c r="K15" i="5"/>
  <c r="I15" i="5"/>
  <c r="H15" i="5"/>
  <c r="G19" i="5"/>
  <c r="G18" i="5"/>
  <c r="G17" i="5"/>
  <c r="G16" i="5"/>
  <c r="G15" i="5"/>
  <c r="K14" i="5"/>
  <c r="I14" i="5"/>
  <c r="G14" i="5"/>
  <c r="G11" i="5"/>
  <c r="I11" i="5"/>
  <c r="K11" i="5"/>
  <c r="M11" i="5"/>
  <c r="G12" i="5"/>
  <c r="I12" i="5"/>
  <c r="K12" i="5"/>
  <c r="M12" i="5"/>
  <c r="G13" i="5"/>
  <c r="I13" i="5"/>
  <c r="K13" i="5"/>
  <c r="M13" i="5"/>
  <c r="J3" i="5"/>
  <c r="I3" i="5"/>
  <c r="H3" i="5"/>
  <c r="D4" i="5"/>
  <c r="D3" i="5"/>
  <c r="D10" i="5"/>
  <c r="E10" i="5"/>
  <c r="F10" i="5"/>
  <c r="G10" i="5"/>
  <c r="H10" i="5"/>
  <c r="I10" i="5"/>
  <c r="K10" i="5"/>
  <c r="M10" i="5"/>
  <c r="O10" i="5"/>
  <c r="D11" i="5"/>
  <c r="E11" i="5"/>
  <c r="F11" i="5"/>
  <c r="D12" i="5"/>
  <c r="E12" i="5"/>
  <c r="F12" i="5"/>
  <c r="D13" i="5"/>
  <c r="E13" i="5"/>
  <c r="F13" i="5"/>
  <c r="D14" i="5"/>
  <c r="E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B33" i="6"/>
  <c r="Z28" i="6" s="1"/>
  <c r="B28" i="6"/>
  <c r="E28" i="6" s="1"/>
  <c r="F28" i="6" s="1"/>
  <c r="B29" i="6"/>
  <c r="E29" i="6" s="1"/>
  <c r="F29" i="6" s="1"/>
  <c r="B30" i="6"/>
  <c r="E30" i="6" s="1"/>
  <c r="F30" i="6" s="1"/>
  <c r="J30" i="6" s="1"/>
  <c r="L30" i="6" s="1"/>
  <c r="M30" i="6" s="1"/>
  <c r="J23" i="5" s="1"/>
  <c r="B27" i="6"/>
  <c r="E27" i="6" s="1"/>
  <c r="Q33" i="6"/>
  <c r="F20" i="6"/>
  <c r="J20" i="6" s="1"/>
  <c r="L20" i="6" s="1"/>
  <c r="M20" i="6" s="1"/>
  <c r="J18" i="11" s="1"/>
  <c r="F19" i="6"/>
  <c r="T19" i="6" s="1"/>
  <c r="F18" i="6"/>
  <c r="F17" i="6"/>
  <c r="D20" i="6"/>
  <c r="D19" i="6"/>
  <c r="D18" i="6"/>
  <c r="D17" i="6"/>
  <c r="Q23" i="6"/>
  <c r="S23" i="6"/>
  <c r="Q13" i="6"/>
  <c r="P13" i="7"/>
  <c r="J2" i="7"/>
  <c r="J1" i="7"/>
  <c r="P13" i="9"/>
  <c r="J1" i="9" s="1"/>
  <c r="P23" i="9"/>
  <c r="P13" i="8"/>
  <c r="P23" i="8"/>
  <c r="O13" i="4"/>
  <c r="J2" i="9"/>
  <c r="J2" i="8"/>
  <c r="J1" i="8"/>
  <c r="G10" i="9"/>
  <c r="H10" i="9" s="1"/>
  <c r="G9" i="9"/>
  <c r="G8" i="9"/>
  <c r="H8" i="9" s="1"/>
  <c r="K8" i="9" s="1"/>
  <c r="G7" i="9"/>
  <c r="C10" i="9"/>
  <c r="C9" i="9"/>
  <c r="D9" i="9" s="1"/>
  <c r="C8" i="9"/>
  <c r="J8" i="9" s="1"/>
  <c r="P8" i="9" s="1"/>
  <c r="AH8" i="9" s="1"/>
  <c r="AI8" i="9" s="1"/>
  <c r="J10" i="9"/>
  <c r="P10" i="9" s="1"/>
  <c r="AH10" i="9" s="1"/>
  <c r="AI10" i="9" s="1"/>
  <c r="C7" i="9"/>
  <c r="B10" i="9"/>
  <c r="B9" i="9"/>
  <c r="B8" i="9"/>
  <c r="B7" i="9"/>
  <c r="B13" i="9" s="1"/>
  <c r="AL7" i="9" s="1"/>
  <c r="AM7" i="9" s="1"/>
  <c r="U23" i="9"/>
  <c r="L23" i="9"/>
  <c r="H23" i="9"/>
  <c r="G23" i="9"/>
  <c r="B23" i="9"/>
  <c r="AL18" i="9" s="1"/>
  <c r="Y20" i="9"/>
  <c r="V20" i="9"/>
  <c r="N20" i="9"/>
  <c r="O20" i="9" s="1"/>
  <c r="K20" i="9"/>
  <c r="J20" i="9"/>
  <c r="P20" i="9" s="1"/>
  <c r="D20" i="9"/>
  <c r="Y19" i="9"/>
  <c r="V19" i="9"/>
  <c r="N19" i="9"/>
  <c r="O19" i="9" s="1"/>
  <c r="K19" i="9"/>
  <c r="J19" i="9"/>
  <c r="P19" i="9" s="1"/>
  <c r="AH19" i="9" s="1"/>
  <c r="AI19" i="9" s="1"/>
  <c r="D19" i="9"/>
  <c r="Y18" i="9"/>
  <c r="V18" i="9"/>
  <c r="P18" i="9"/>
  <c r="AH18" i="9" s="1"/>
  <c r="AI18" i="9" s="1"/>
  <c r="N18" i="9"/>
  <c r="O18" i="9" s="1"/>
  <c r="Q18" i="9" s="1"/>
  <c r="K18" i="9"/>
  <c r="J18" i="9"/>
  <c r="D18" i="9"/>
  <c r="Y17" i="9"/>
  <c r="V17" i="9"/>
  <c r="N17" i="9"/>
  <c r="K17" i="9"/>
  <c r="J17" i="9"/>
  <c r="D17" i="9"/>
  <c r="U13" i="9"/>
  <c r="L13" i="9"/>
  <c r="Y10" i="9"/>
  <c r="Y9" i="9"/>
  <c r="J9" i="9"/>
  <c r="P9" i="9" s="1"/>
  <c r="AH9" i="9" s="1"/>
  <c r="AI9" i="9" s="1"/>
  <c r="H9" i="9"/>
  <c r="K9" i="9" s="1"/>
  <c r="Y8" i="9"/>
  <c r="J7" i="9"/>
  <c r="H7" i="9"/>
  <c r="D7" i="9"/>
  <c r="U23" i="8"/>
  <c r="L23" i="8"/>
  <c r="H23" i="8"/>
  <c r="G23" i="8"/>
  <c r="B23" i="8"/>
  <c r="AL18" i="8" s="1"/>
  <c r="Y20" i="8"/>
  <c r="V20" i="8"/>
  <c r="O20" i="8"/>
  <c r="N20" i="8"/>
  <c r="K20" i="8"/>
  <c r="J20" i="8"/>
  <c r="P20" i="8" s="1"/>
  <c r="D20" i="8"/>
  <c r="AL19" i="8"/>
  <c r="AB19" i="8"/>
  <c r="Y19" i="8"/>
  <c r="V19" i="8"/>
  <c r="N19" i="8"/>
  <c r="O19" i="8" s="1"/>
  <c r="K19" i="8"/>
  <c r="J19" i="8"/>
  <c r="P19" i="8" s="1"/>
  <c r="AH19" i="8" s="1"/>
  <c r="AI19" i="8" s="1"/>
  <c r="D19" i="8"/>
  <c r="AI18" i="8"/>
  <c r="Y18" i="8"/>
  <c r="V18" i="8"/>
  <c r="P18" i="8"/>
  <c r="AH18" i="8" s="1"/>
  <c r="N18" i="8"/>
  <c r="O18" i="8" s="1"/>
  <c r="Q18" i="8" s="1"/>
  <c r="K18" i="8"/>
  <c r="J18" i="8"/>
  <c r="D18" i="8"/>
  <c r="AI17" i="8"/>
  <c r="AB17" i="8"/>
  <c r="AC17" i="8" s="1"/>
  <c r="Y17" i="8"/>
  <c r="V17" i="8"/>
  <c r="N17" i="8"/>
  <c r="N23" i="8" s="1"/>
  <c r="O23" i="8" s="1"/>
  <c r="K17" i="8"/>
  <c r="K23" i="8" s="1"/>
  <c r="J17" i="8"/>
  <c r="P17" i="8" s="1"/>
  <c r="AH17" i="8" s="1"/>
  <c r="D17" i="8"/>
  <c r="U13" i="8"/>
  <c r="L13" i="8"/>
  <c r="G13" i="8"/>
  <c r="B13" i="8"/>
  <c r="AH10" i="8"/>
  <c r="AI10" i="8" s="1"/>
  <c r="Y10" i="8"/>
  <c r="V10" i="8"/>
  <c r="N10" i="8"/>
  <c r="O10" i="8" s="1"/>
  <c r="Q10" i="8" s="1"/>
  <c r="K10" i="8"/>
  <c r="J10" i="8"/>
  <c r="P10" i="8" s="1"/>
  <c r="H10" i="8"/>
  <c r="D10" i="8"/>
  <c r="AH9" i="8"/>
  <c r="AI9" i="8" s="1"/>
  <c r="Y9" i="8"/>
  <c r="N9" i="8"/>
  <c r="O9" i="8" s="1"/>
  <c r="J9" i="8"/>
  <c r="P9" i="8" s="1"/>
  <c r="H9" i="8"/>
  <c r="K9" i="8" s="1"/>
  <c r="D9" i="8"/>
  <c r="AH8" i="8"/>
  <c r="AI8" i="8" s="1"/>
  <c r="Y8" i="8"/>
  <c r="J8" i="8"/>
  <c r="P8" i="8" s="1"/>
  <c r="H8" i="8"/>
  <c r="K8" i="8" s="1"/>
  <c r="D8" i="8"/>
  <c r="Y7" i="8"/>
  <c r="J7" i="8"/>
  <c r="J13" i="8" s="1"/>
  <c r="H7" i="8"/>
  <c r="K7" i="8" s="1"/>
  <c r="D7" i="8"/>
  <c r="D20" i="7"/>
  <c r="D19" i="7"/>
  <c r="D18" i="7"/>
  <c r="D17" i="7"/>
  <c r="D7" i="7"/>
  <c r="D8" i="7"/>
  <c r="D9" i="7"/>
  <c r="D10" i="7"/>
  <c r="U23" i="7"/>
  <c r="H23" i="7"/>
  <c r="G23" i="7"/>
  <c r="B23" i="7"/>
  <c r="AB17" i="7" s="1"/>
  <c r="AC17" i="7" s="1"/>
  <c r="V20" i="7"/>
  <c r="N20" i="7"/>
  <c r="O20" i="7" s="1"/>
  <c r="K20" i="7"/>
  <c r="J20" i="7"/>
  <c r="P20" i="7" s="1"/>
  <c r="AH20" i="7" s="1"/>
  <c r="AI20" i="7" s="1"/>
  <c r="V19" i="7"/>
  <c r="N19" i="7"/>
  <c r="O19" i="7" s="1"/>
  <c r="K19" i="7"/>
  <c r="J19" i="7"/>
  <c r="P19" i="7" s="1"/>
  <c r="AH19" i="7" s="1"/>
  <c r="AI19" i="7" s="1"/>
  <c r="V18" i="7"/>
  <c r="N18" i="7"/>
  <c r="O18" i="7" s="1"/>
  <c r="Y18" i="7" s="1"/>
  <c r="K18" i="7"/>
  <c r="J18" i="7"/>
  <c r="V17" i="7"/>
  <c r="P17" i="7"/>
  <c r="AH17" i="7" s="1"/>
  <c r="AI17" i="7" s="1"/>
  <c r="L23" i="7"/>
  <c r="K17" i="7"/>
  <c r="J17" i="7"/>
  <c r="U13" i="7"/>
  <c r="G13" i="7"/>
  <c r="B13" i="7"/>
  <c r="AB9" i="7" s="1"/>
  <c r="AL10" i="7"/>
  <c r="AB10" i="7"/>
  <c r="J10" i="7"/>
  <c r="P10" i="7" s="1"/>
  <c r="AH10" i="7" s="1"/>
  <c r="AI10" i="7" s="1"/>
  <c r="H10" i="7"/>
  <c r="K10" i="7" s="1"/>
  <c r="J9" i="7"/>
  <c r="P9" i="7" s="1"/>
  <c r="AH9" i="7" s="1"/>
  <c r="AI9" i="7" s="1"/>
  <c r="H9" i="7"/>
  <c r="V9" i="7" s="1"/>
  <c r="K8" i="7"/>
  <c r="J8" i="7"/>
  <c r="P8" i="7" s="1"/>
  <c r="AH8" i="7" s="1"/>
  <c r="AI8" i="7" s="1"/>
  <c r="H8" i="7"/>
  <c r="J7" i="7"/>
  <c r="P7" i="7" s="1"/>
  <c r="AH7" i="7" s="1"/>
  <c r="AI7" i="7" s="1"/>
  <c r="H7" i="7"/>
  <c r="K7" i="7" s="1"/>
  <c r="D8" i="6"/>
  <c r="D9" i="6"/>
  <c r="D10" i="6"/>
  <c r="D7" i="6"/>
  <c r="H18" i="6"/>
  <c r="N18" i="6" s="1"/>
  <c r="AF18" i="6" s="1"/>
  <c r="AG18" i="6" s="1"/>
  <c r="H19" i="6"/>
  <c r="N19" i="6" s="1"/>
  <c r="AF19" i="6" s="1"/>
  <c r="AG19" i="6" s="1"/>
  <c r="H20" i="6"/>
  <c r="N20" i="6" s="1"/>
  <c r="AF20" i="6" s="1"/>
  <c r="AG20" i="6" s="1"/>
  <c r="H17" i="6"/>
  <c r="N17" i="6" s="1"/>
  <c r="AF17" i="6" s="1"/>
  <c r="AG17" i="6" s="1"/>
  <c r="H8" i="6"/>
  <c r="N8" i="6" s="1"/>
  <c r="AF8" i="6" s="1"/>
  <c r="AG8" i="6" s="1"/>
  <c r="H9" i="6"/>
  <c r="N9" i="6" s="1"/>
  <c r="AF9" i="6" s="1"/>
  <c r="AG9" i="6" s="1"/>
  <c r="H10" i="6"/>
  <c r="H7" i="6"/>
  <c r="N7" i="6" s="1"/>
  <c r="AF7" i="6" s="1"/>
  <c r="AG7" i="6" s="1"/>
  <c r="F10" i="6"/>
  <c r="T10" i="6" s="1"/>
  <c r="F9" i="6"/>
  <c r="F8" i="6"/>
  <c r="I8" i="6" s="1"/>
  <c r="F7" i="6"/>
  <c r="T7" i="6" s="1"/>
  <c r="T9" i="6"/>
  <c r="E23" i="6"/>
  <c r="E13" i="6"/>
  <c r="B23" i="6"/>
  <c r="AJ20" i="6" s="1"/>
  <c r="T17" i="6"/>
  <c r="J17" i="6"/>
  <c r="L17" i="6" s="1"/>
  <c r="I17" i="6"/>
  <c r="S13" i="6"/>
  <c r="B13" i="6"/>
  <c r="N10" i="6"/>
  <c r="AF10" i="6" s="1"/>
  <c r="AG10" i="6" s="1"/>
  <c r="I7" i="6"/>
  <c r="P32" i="4"/>
  <c r="P31" i="4"/>
  <c r="P30" i="4"/>
  <c r="P29" i="4"/>
  <c r="P28" i="4"/>
  <c r="P27" i="4"/>
  <c r="P22" i="4"/>
  <c r="P21" i="4"/>
  <c r="P20" i="4"/>
  <c r="P19" i="4"/>
  <c r="AH19" i="4" s="1"/>
  <c r="AI19" i="4" s="1"/>
  <c r="P18" i="4"/>
  <c r="AH18" i="4" s="1"/>
  <c r="AI18" i="4" s="1"/>
  <c r="P17" i="4"/>
  <c r="AH17" i="4" s="1"/>
  <c r="AI17" i="4" s="1"/>
  <c r="P8" i="4"/>
  <c r="P9" i="4"/>
  <c r="P10" i="4"/>
  <c r="P11" i="4"/>
  <c r="P12" i="4"/>
  <c r="P7" i="4"/>
  <c r="J32" i="4"/>
  <c r="J31" i="4"/>
  <c r="J30" i="4"/>
  <c r="J29" i="4"/>
  <c r="J28" i="4"/>
  <c r="J27" i="4"/>
  <c r="J33" i="4" s="1"/>
  <c r="J22" i="4"/>
  <c r="J21" i="4"/>
  <c r="J20" i="4"/>
  <c r="J19" i="4"/>
  <c r="J18" i="4"/>
  <c r="J17" i="4"/>
  <c r="J23" i="4" s="1"/>
  <c r="J8" i="4"/>
  <c r="J9" i="4"/>
  <c r="J10" i="4"/>
  <c r="J11" i="4"/>
  <c r="J12" i="4"/>
  <c r="J7" i="4"/>
  <c r="J13" i="4" s="1"/>
  <c r="AH30" i="4"/>
  <c r="AI30" i="4" s="1"/>
  <c r="AH29" i="4"/>
  <c r="AI29" i="4" s="1"/>
  <c r="AH28" i="4"/>
  <c r="AI28" i="4" s="1"/>
  <c r="AH27" i="4"/>
  <c r="AI27" i="4" s="1"/>
  <c r="AH22" i="4"/>
  <c r="AI22" i="4" s="1"/>
  <c r="AH21" i="4"/>
  <c r="AI21" i="4" s="1"/>
  <c r="AH20" i="4"/>
  <c r="AI20" i="4" s="1"/>
  <c r="AH8" i="4"/>
  <c r="AI8" i="4" s="1"/>
  <c r="AH11" i="4"/>
  <c r="AI11" i="4" s="1"/>
  <c r="AH12" i="4"/>
  <c r="AI12" i="4" s="1"/>
  <c r="AH7" i="4"/>
  <c r="AI7" i="4" s="1"/>
  <c r="AL20" i="4"/>
  <c r="AL21" i="4"/>
  <c r="AL22" i="4"/>
  <c r="AL17" i="4"/>
  <c r="AH32" i="4"/>
  <c r="AI32" i="4" s="1"/>
  <c r="AH31" i="4"/>
  <c r="AI31" i="4" s="1"/>
  <c r="AM17" i="4"/>
  <c r="AL8" i="4"/>
  <c r="AL9" i="4"/>
  <c r="AL10" i="4"/>
  <c r="AH9" i="4"/>
  <c r="AI9" i="4" s="1"/>
  <c r="AH10" i="4"/>
  <c r="AI10" i="4" s="1"/>
  <c r="V32" i="4"/>
  <c r="V31" i="4"/>
  <c r="V30" i="4"/>
  <c r="V29" i="4"/>
  <c r="V28" i="4"/>
  <c r="V27" i="4"/>
  <c r="V22" i="4"/>
  <c r="V21" i="4"/>
  <c r="V20" i="4"/>
  <c r="V19" i="4"/>
  <c r="V18" i="4"/>
  <c r="V17" i="4"/>
  <c r="L32" i="4"/>
  <c r="N32" i="4" s="1"/>
  <c r="O32" i="4" s="1"/>
  <c r="L31" i="4"/>
  <c r="N31" i="4" s="1"/>
  <c r="O31" i="4" s="1"/>
  <c r="X31" i="4" s="1"/>
  <c r="Y31" i="4" s="1"/>
  <c r="L30" i="4"/>
  <c r="N30" i="4" s="1"/>
  <c r="O30" i="4" s="1"/>
  <c r="X30" i="4" s="1"/>
  <c r="Y30" i="4" s="1"/>
  <c r="L29" i="4"/>
  <c r="N29" i="4" s="1"/>
  <c r="O29" i="4" s="1"/>
  <c r="X29" i="4" s="1"/>
  <c r="Y29" i="4" s="1"/>
  <c r="L28" i="4"/>
  <c r="N28" i="4" s="1"/>
  <c r="O28" i="4" s="1"/>
  <c r="X28" i="4" s="1"/>
  <c r="Y28" i="4" s="1"/>
  <c r="L27" i="4"/>
  <c r="L22" i="4"/>
  <c r="N22" i="4" s="1"/>
  <c r="O22" i="4" s="1"/>
  <c r="X22" i="4" s="1"/>
  <c r="Y22" i="4" s="1"/>
  <c r="L21" i="4"/>
  <c r="N21" i="4" s="1"/>
  <c r="O21" i="4" s="1"/>
  <c r="X21" i="4" s="1"/>
  <c r="Y21" i="4" s="1"/>
  <c r="L20" i="4"/>
  <c r="N20" i="4" s="1"/>
  <c r="O20" i="4" s="1"/>
  <c r="X20" i="4" s="1"/>
  <c r="Y20" i="4" s="1"/>
  <c r="L19" i="4"/>
  <c r="N19" i="4" s="1"/>
  <c r="O19" i="4" s="1"/>
  <c r="X19" i="4" s="1"/>
  <c r="Y19" i="4" s="1"/>
  <c r="L18" i="4"/>
  <c r="N18" i="4" s="1"/>
  <c r="O18" i="4" s="1"/>
  <c r="X18" i="4" s="1"/>
  <c r="Y18" i="4" s="1"/>
  <c r="L17" i="4"/>
  <c r="N17" i="4" s="1"/>
  <c r="O17" i="4" s="1"/>
  <c r="X17" i="4" s="1"/>
  <c r="Y17" i="4" s="1"/>
  <c r="L7" i="4"/>
  <c r="N7" i="4" s="1"/>
  <c r="O7" i="4" s="1"/>
  <c r="X7" i="4" s="1"/>
  <c r="Y7" i="4" s="1"/>
  <c r="V8" i="4"/>
  <c r="V9" i="4"/>
  <c r="V10" i="4"/>
  <c r="V11" i="4"/>
  <c r="V12" i="4"/>
  <c r="V7" i="4"/>
  <c r="U33" i="4"/>
  <c r="U23" i="4"/>
  <c r="K32" i="4"/>
  <c r="K31" i="4"/>
  <c r="K30" i="4"/>
  <c r="K29" i="4"/>
  <c r="K28" i="4"/>
  <c r="K27" i="4"/>
  <c r="K22" i="4"/>
  <c r="K21" i="4"/>
  <c r="K20" i="4"/>
  <c r="K19" i="4"/>
  <c r="K18" i="4"/>
  <c r="K17" i="4"/>
  <c r="K8" i="4"/>
  <c r="K9" i="4"/>
  <c r="K10" i="4"/>
  <c r="K11" i="4"/>
  <c r="K12" i="4"/>
  <c r="K7" i="4"/>
  <c r="M7" i="1"/>
  <c r="M2" i="1"/>
  <c r="C8" i="1"/>
  <c r="B8" i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C25" i="1"/>
  <c r="B25" i="1"/>
  <c r="B26" i="1" s="1"/>
  <c r="H33" i="4"/>
  <c r="B33" i="4"/>
  <c r="AB31" i="4" s="1"/>
  <c r="H23" i="4"/>
  <c r="B23" i="4"/>
  <c r="AB17" i="4" s="1"/>
  <c r="AC17" i="4" s="1"/>
  <c r="H13" i="4"/>
  <c r="B13" i="4"/>
  <c r="AB10" i="4" s="1"/>
  <c r="M11" i="12" l="1"/>
  <c r="G18" i="12"/>
  <c r="M11" i="11"/>
  <c r="W17" i="10"/>
  <c r="M15" i="12"/>
  <c r="G18" i="11"/>
  <c r="W20" i="10"/>
  <c r="G12" i="12"/>
  <c r="G15" i="12"/>
  <c r="D5" i="5"/>
  <c r="J18" i="5"/>
  <c r="J18" i="12"/>
  <c r="D5" i="11"/>
  <c r="I18" i="10"/>
  <c r="I20" i="10"/>
  <c r="F13" i="10"/>
  <c r="I8" i="10"/>
  <c r="J8" i="10"/>
  <c r="L8" i="10"/>
  <c r="M8" i="10" s="1"/>
  <c r="J7" i="10"/>
  <c r="I7" i="10"/>
  <c r="AG23" i="10"/>
  <c r="AH17" i="10"/>
  <c r="AI17" i="10" s="1"/>
  <c r="AG13" i="10"/>
  <c r="AH9" i="10" s="1"/>
  <c r="AH7" i="10"/>
  <c r="AI7" i="10" s="1"/>
  <c r="M17" i="10"/>
  <c r="AH19" i="10"/>
  <c r="J28" i="10"/>
  <c r="I28" i="10"/>
  <c r="AH18" i="10"/>
  <c r="AW19" i="10"/>
  <c r="AK20" i="10"/>
  <c r="AW20" i="10" s="1"/>
  <c r="AT7" i="10"/>
  <c r="AA8" i="10"/>
  <c r="AA18" i="10"/>
  <c r="AT18" i="10" s="1"/>
  <c r="AH20" i="10"/>
  <c r="AJ28" i="10"/>
  <c r="AK28" i="10" s="1"/>
  <c r="AW28" i="10" s="1"/>
  <c r="T7" i="10"/>
  <c r="L9" i="10"/>
  <c r="H13" i="10"/>
  <c r="I17" i="10"/>
  <c r="I23" i="10" s="1"/>
  <c r="N23" i="10" s="1"/>
  <c r="J18" i="10"/>
  <c r="L18" i="10" s="1"/>
  <c r="M18" i="10" s="1"/>
  <c r="O18" i="10" s="1"/>
  <c r="V28" i="10"/>
  <c r="W28" i="10" s="1"/>
  <c r="H29" i="10"/>
  <c r="N29" i="10" s="1"/>
  <c r="AF29" i="10" s="1"/>
  <c r="AG29" i="10"/>
  <c r="T10" i="10"/>
  <c r="T19" i="10"/>
  <c r="Z30" i="10"/>
  <c r="AJ30" i="10"/>
  <c r="I10" i="10"/>
  <c r="Z27" i="10"/>
  <c r="AA27" i="10" s="1"/>
  <c r="AT27" i="10" s="1"/>
  <c r="Z29" i="10"/>
  <c r="AJ29" i="10"/>
  <c r="C30" i="10"/>
  <c r="T9" i="10"/>
  <c r="J10" i="10"/>
  <c r="J19" i="10"/>
  <c r="F23" i="10"/>
  <c r="C28" i="10"/>
  <c r="E30" i="10"/>
  <c r="F30" i="10" s="1"/>
  <c r="I9" i="10"/>
  <c r="I13" i="10" s="1"/>
  <c r="N13" i="10" s="1"/>
  <c r="AK10" i="10"/>
  <c r="AW10" i="10" s="1"/>
  <c r="Z19" i="10"/>
  <c r="AA19" i="10" s="1"/>
  <c r="E27" i="10"/>
  <c r="E29" i="10"/>
  <c r="F29" i="10" s="1"/>
  <c r="Z28" i="10"/>
  <c r="AA28" i="10" s="1"/>
  <c r="AT28" i="10" s="1"/>
  <c r="F27" i="6"/>
  <c r="E33" i="6"/>
  <c r="J29" i="6"/>
  <c r="L29" i="6" s="1"/>
  <c r="M29" i="6" s="1"/>
  <c r="J22" i="5" s="1"/>
  <c r="I29" i="6"/>
  <c r="I28" i="6"/>
  <c r="J28" i="6"/>
  <c r="L28" i="6" s="1"/>
  <c r="T20" i="6"/>
  <c r="C27" i="6"/>
  <c r="D27" i="6" s="1"/>
  <c r="Z29" i="6"/>
  <c r="V27" i="6"/>
  <c r="Z27" i="6"/>
  <c r="AA27" i="6" s="1"/>
  <c r="F23" i="6"/>
  <c r="C30" i="6"/>
  <c r="AJ27" i="6"/>
  <c r="AK27" i="6" s="1"/>
  <c r="V30" i="6"/>
  <c r="C29" i="6"/>
  <c r="AJ30" i="6"/>
  <c r="V29" i="6"/>
  <c r="C28" i="6"/>
  <c r="AJ28" i="6"/>
  <c r="AK28" i="6" s="1"/>
  <c r="AK29" i="6" s="1"/>
  <c r="AK30" i="6" s="1"/>
  <c r="V28" i="6"/>
  <c r="I20" i="6"/>
  <c r="I18" i="6"/>
  <c r="I23" i="6" s="1"/>
  <c r="N23" i="6" s="1"/>
  <c r="I19" i="6"/>
  <c r="J19" i="6"/>
  <c r="L19" i="6" s="1"/>
  <c r="M19" i="6" s="1"/>
  <c r="AJ29" i="6"/>
  <c r="Z30" i="6"/>
  <c r="I30" i="6"/>
  <c r="I27" i="6"/>
  <c r="AA28" i="6"/>
  <c r="AA29" i="6" s="1"/>
  <c r="AA30" i="6" s="1"/>
  <c r="M28" i="6"/>
  <c r="J21" i="5" s="1"/>
  <c r="J18" i="6"/>
  <c r="L18" i="6" s="1"/>
  <c r="M18" i="6" s="1"/>
  <c r="O18" i="6" s="1"/>
  <c r="T18" i="6"/>
  <c r="J8" i="6"/>
  <c r="L8" i="6" s="1"/>
  <c r="M8" i="6" s="1"/>
  <c r="J11" i="5" s="1"/>
  <c r="T8" i="6"/>
  <c r="J10" i="6"/>
  <c r="L10" i="6" s="1"/>
  <c r="M10" i="6" s="1"/>
  <c r="J7" i="6"/>
  <c r="L7" i="6" s="1"/>
  <c r="M7" i="6" s="1"/>
  <c r="J10" i="5" s="1"/>
  <c r="Q20" i="8"/>
  <c r="AH20" i="8"/>
  <c r="AI20" i="8" s="1"/>
  <c r="Z7" i="8"/>
  <c r="AA7" i="8" s="1"/>
  <c r="P7" i="8"/>
  <c r="AH7" i="8" s="1"/>
  <c r="AI7" i="8" s="1"/>
  <c r="V9" i="8"/>
  <c r="Y13" i="8"/>
  <c r="Z8" i="8" s="1"/>
  <c r="AA8" i="8" s="1"/>
  <c r="K23" i="9"/>
  <c r="J23" i="9"/>
  <c r="N23" i="9"/>
  <c r="O23" i="9" s="1"/>
  <c r="Q23" i="9" s="1"/>
  <c r="Y7" i="9"/>
  <c r="Y13" i="9" s="1"/>
  <c r="Z10" i="9" s="1"/>
  <c r="D8" i="9"/>
  <c r="AB7" i="7"/>
  <c r="AC7" i="7" s="1"/>
  <c r="AL9" i="7"/>
  <c r="H13" i="7"/>
  <c r="N10" i="7"/>
  <c r="O10" i="7" s="1"/>
  <c r="Q20" i="7"/>
  <c r="K10" i="9"/>
  <c r="V10" i="9"/>
  <c r="N10" i="9"/>
  <c r="O10" i="9" s="1"/>
  <c r="Q10" i="9" s="1"/>
  <c r="G13" i="9"/>
  <c r="N9" i="9"/>
  <c r="O9" i="9" s="1"/>
  <c r="V9" i="9"/>
  <c r="N8" i="9"/>
  <c r="O8" i="9" s="1"/>
  <c r="V8" i="9"/>
  <c r="D10" i="9"/>
  <c r="Q9" i="9"/>
  <c r="J13" i="9"/>
  <c r="Q8" i="9"/>
  <c r="AH20" i="9"/>
  <c r="AI20" i="9" s="1"/>
  <c r="Q20" i="9"/>
  <c r="H13" i="9"/>
  <c r="N7" i="9"/>
  <c r="K7" i="9"/>
  <c r="K13" i="9" s="1"/>
  <c r="AM18" i="9"/>
  <c r="V7" i="9"/>
  <c r="Q19" i="9"/>
  <c r="P7" i="9"/>
  <c r="AH7" i="9" s="1"/>
  <c r="AI7" i="9" s="1"/>
  <c r="AB8" i="9"/>
  <c r="AL8" i="9"/>
  <c r="AM8" i="9" s="1"/>
  <c r="AB9" i="9"/>
  <c r="AL9" i="9"/>
  <c r="AB10" i="9"/>
  <c r="AL10" i="9"/>
  <c r="P17" i="9"/>
  <c r="AH17" i="9" s="1"/>
  <c r="AI17" i="9" s="1"/>
  <c r="Y23" i="9"/>
  <c r="Z19" i="9" s="1"/>
  <c r="AB20" i="9"/>
  <c r="AL20" i="9"/>
  <c r="AB7" i="9"/>
  <c r="AC7" i="9" s="1"/>
  <c r="AB17" i="9"/>
  <c r="AC17" i="9" s="1"/>
  <c r="AB19" i="9"/>
  <c r="AL19" i="9"/>
  <c r="O17" i="9"/>
  <c r="Q17" i="9" s="1"/>
  <c r="AL17" i="9"/>
  <c r="AM17" i="9" s="1"/>
  <c r="AB18" i="9"/>
  <c r="V8" i="8"/>
  <c r="N8" i="8"/>
  <c r="O8" i="8" s="1"/>
  <c r="K13" i="8"/>
  <c r="N7" i="8"/>
  <c r="O7" i="8" s="1"/>
  <c r="Q7" i="8" s="1"/>
  <c r="V7" i="8"/>
  <c r="H13" i="8"/>
  <c r="AI13" i="8"/>
  <c r="AJ7" i="8" s="1"/>
  <c r="AK7" i="8" s="1"/>
  <c r="AL7" i="8"/>
  <c r="AM7" i="8" s="1"/>
  <c r="AB7" i="8"/>
  <c r="AC7" i="8" s="1"/>
  <c r="AJ8" i="8"/>
  <c r="AM18" i="8"/>
  <c r="AM19" i="8" s="1"/>
  <c r="AB9" i="8"/>
  <c r="Q23" i="8"/>
  <c r="Q9" i="8"/>
  <c r="AJ10" i="8"/>
  <c r="Q19" i="8"/>
  <c r="AL8" i="8"/>
  <c r="Z18" i="8"/>
  <c r="Q8" i="8"/>
  <c r="AL9" i="8"/>
  <c r="J23" i="8"/>
  <c r="AB10" i="8"/>
  <c r="AB8" i="8"/>
  <c r="AC8" i="8" s="1"/>
  <c r="AL10" i="8"/>
  <c r="Y23" i="8"/>
  <c r="AB20" i="8"/>
  <c r="AL20" i="8"/>
  <c r="O17" i="8"/>
  <c r="Q17" i="8" s="1"/>
  <c r="AL17" i="8"/>
  <c r="AM17" i="8" s="1"/>
  <c r="AB18" i="8"/>
  <c r="AC18" i="8" s="1"/>
  <c r="AC19" i="8" s="1"/>
  <c r="Y20" i="7"/>
  <c r="Y10" i="7"/>
  <c r="Q10" i="7"/>
  <c r="N8" i="7"/>
  <c r="O8" i="7" s="1"/>
  <c r="J13" i="7"/>
  <c r="N17" i="7"/>
  <c r="AL20" i="7"/>
  <c r="AB20" i="7"/>
  <c r="AL19" i="7"/>
  <c r="AB19" i="7"/>
  <c r="AL18" i="7"/>
  <c r="AB18" i="7"/>
  <c r="AC18" i="7" s="1"/>
  <c r="AL17" i="7"/>
  <c r="AM17" i="7" s="1"/>
  <c r="N7" i="7"/>
  <c r="V8" i="7"/>
  <c r="AI23" i="7"/>
  <c r="AJ19" i="7" s="1"/>
  <c r="AI13" i="7"/>
  <c r="AJ10" i="7" s="1"/>
  <c r="Q19" i="7"/>
  <c r="AL8" i="7"/>
  <c r="AB8" i="7"/>
  <c r="AC8" i="7" s="1"/>
  <c r="AC9" i="7" s="1"/>
  <c r="AC10" i="7" s="1"/>
  <c r="P18" i="7"/>
  <c r="AH18" i="7" s="1"/>
  <c r="AI18" i="7" s="1"/>
  <c r="J23" i="7"/>
  <c r="Y19" i="7"/>
  <c r="AL7" i="7"/>
  <c r="AM7" i="7" s="1"/>
  <c r="N9" i="7"/>
  <c r="O9" i="7" s="1"/>
  <c r="K9" i="7"/>
  <c r="K13" i="7" s="1"/>
  <c r="K23" i="7"/>
  <c r="P23" i="7" s="1"/>
  <c r="V7" i="7"/>
  <c r="V10" i="7"/>
  <c r="F13" i="6"/>
  <c r="I9" i="6"/>
  <c r="J9" i="6"/>
  <c r="L9" i="6" s="1"/>
  <c r="M9" i="6" s="1"/>
  <c r="AJ8" i="6"/>
  <c r="I10" i="6"/>
  <c r="Z10" i="6"/>
  <c r="AJ9" i="6"/>
  <c r="Z18" i="6"/>
  <c r="Z19" i="6"/>
  <c r="Z9" i="6"/>
  <c r="O20" i="6"/>
  <c r="W20" i="6"/>
  <c r="AG13" i="6"/>
  <c r="O19" i="6"/>
  <c r="W19" i="6"/>
  <c r="AG23" i="6"/>
  <c r="AH17" i="6" s="1"/>
  <c r="AI17" i="6" s="1"/>
  <c r="H13" i="6"/>
  <c r="AJ17" i="6"/>
  <c r="AK17" i="6" s="1"/>
  <c r="Z20" i="6"/>
  <c r="AJ18" i="6"/>
  <c r="AJ19" i="6"/>
  <c r="Z17" i="6"/>
  <c r="AA17" i="6" s="1"/>
  <c r="Z7" i="6"/>
  <c r="AA7" i="6" s="1"/>
  <c r="AJ7" i="6"/>
  <c r="AK7" i="6" s="1"/>
  <c r="W18" i="6"/>
  <c r="H23" i="6"/>
  <c r="Z8" i="6"/>
  <c r="AJ10" i="6"/>
  <c r="M17" i="6"/>
  <c r="J15" i="5" s="1"/>
  <c r="AL30" i="4"/>
  <c r="AL32" i="4"/>
  <c r="AL31" i="4"/>
  <c r="AL29" i="4"/>
  <c r="AL7" i="4"/>
  <c r="AM7" i="4" s="1"/>
  <c r="AL19" i="4"/>
  <c r="AM19" i="4" s="1"/>
  <c r="AM20" i="4" s="1"/>
  <c r="AM21" i="4" s="1"/>
  <c r="AM22" i="4" s="1"/>
  <c r="AL28" i="4"/>
  <c r="AL12" i="4"/>
  <c r="AL18" i="4"/>
  <c r="AM18" i="4" s="1"/>
  <c r="AL11" i="4"/>
  <c r="AL27" i="4"/>
  <c r="AM27" i="4" s="1"/>
  <c r="AJ18" i="4"/>
  <c r="AJ19" i="4"/>
  <c r="AJ21" i="4"/>
  <c r="AM28" i="4"/>
  <c r="AM29" i="4"/>
  <c r="AM30" i="4"/>
  <c r="AM31" i="4" s="1"/>
  <c r="AM32" i="4" s="1"/>
  <c r="AI33" i="4"/>
  <c r="AJ27" i="4" s="1"/>
  <c r="AK27" i="4" s="1"/>
  <c r="AI23" i="4"/>
  <c r="AJ22" i="4" s="1"/>
  <c r="AI13" i="4"/>
  <c r="AM8" i="4"/>
  <c r="AM9" i="4" s="1"/>
  <c r="AM10" i="4" s="1"/>
  <c r="AB21" i="4"/>
  <c r="AB18" i="4"/>
  <c r="AB19" i="4"/>
  <c r="Q32" i="4"/>
  <c r="AB22" i="4"/>
  <c r="Y23" i="4"/>
  <c r="Z20" i="4" s="1"/>
  <c r="AB29" i="4"/>
  <c r="AB20" i="4"/>
  <c r="AB28" i="4"/>
  <c r="AB32" i="4"/>
  <c r="AB30" i="4"/>
  <c r="AB27" i="4"/>
  <c r="AC27" i="4" s="1"/>
  <c r="X32" i="4"/>
  <c r="Y32" i="4" s="1"/>
  <c r="AC18" i="4"/>
  <c r="Q19" i="4"/>
  <c r="Q20" i="4"/>
  <c r="Q22" i="4"/>
  <c r="K23" i="4"/>
  <c r="P23" i="4" s="1"/>
  <c r="Q7" i="4"/>
  <c r="K33" i="4"/>
  <c r="P33" i="4" s="1"/>
  <c r="Q31" i="4"/>
  <c r="AB9" i="4"/>
  <c r="Q30" i="4"/>
  <c r="AB8" i="4"/>
  <c r="Q18" i="4"/>
  <c r="Q21" i="4"/>
  <c r="AB7" i="4"/>
  <c r="AC7" i="4" s="1"/>
  <c r="Q29" i="4"/>
  <c r="AB12" i="4"/>
  <c r="AB11" i="4"/>
  <c r="Q28" i="4"/>
  <c r="L23" i="4"/>
  <c r="L33" i="4"/>
  <c r="N27" i="4"/>
  <c r="O27" i="4" s="1"/>
  <c r="Q17" i="4"/>
  <c r="N23" i="4"/>
  <c r="O23" i="4" s="1"/>
  <c r="K13" i="4"/>
  <c r="P13" i="4" s="1"/>
  <c r="I19" i="1"/>
  <c r="B11" i="1" s="1"/>
  <c r="U13" i="4"/>
  <c r="L8" i="4"/>
  <c r="N8" i="4" s="1"/>
  <c r="O8" i="4" s="1"/>
  <c r="X8" i="4" s="1"/>
  <c r="L9" i="4"/>
  <c r="N9" i="4" s="1"/>
  <c r="O8" i="10" l="1"/>
  <c r="J11" i="12"/>
  <c r="J11" i="11"/>
  <c r="G21" i="11"/>
  <c r="G21" i="12"/>
  <c r="L19" i="10"/>
  <c r="M19" i="10" s="1"/>
  <c r="O19" i="10" s="1"/>
  <c r="G17" i="11"/>
  <c r="W19" i="10"/>
  <c r="G17" i="12"/>
  <c r="L10" i="10"/>
  <c r="M10" i="10" s="1"/>
  <c r="G13" i="12"/>
  <c r="G13" i="11"/>
  <c r="M9" i="10"/>
  <c r="I12" i="12"/>
  <c r="I12" i="11"/>
  <c r="M12" i="11"/>
  <c r="W9" i="10"/>
  <c r="M12" i="12"/>
  <c r="V29" i="10"/>
  <c r="W29" i="10" s="1"/>
  <c r="O17" i="10"/>
  <c r="J15" i="12"/>
  <c r="J15" i="11"/>
  <c r="L7" i="10"/>
  <c r="G10" i="11"/>
  <c r="G10" i="12"/>
  <c r="M22" i="12"/>
  <c r="M22" i="11"/>
  <c r="M22" i="5"/>
  <c r="M21" i="11"/>
  <c r="M21" i="5"/>
  <c r="M21" i="12"/>
  <c r="W30" i="6"/>
  <c r="M23" i="12"/>
  <c r="M23" i="11"/>
  <c r="M23" i="5"/>
  <c r="M20" i="5"/>
  <c r="M20" i="11"/>
  <c r="M20" i="12"/>
  <c r="L16" i="11"/>
  <c r="L16" i="12"/>
  <c r="L16" i="5"/>
  <c r="L17" i="12"/>
  <c r="L17" i="11"/>
  <c r="L17" i="5"/>
  <c r="J16" i="5"/>
  <c r="J16" i="12"/>
  <c r="J16" i="11"/>
  <c r="O10" i="6"/>
  <c r="L13" i="5" s="1"/>
  <c r="J13" i="5"/>
  <c r="L18" i="12"/>
  <c r="L18" i="5"/>
  <c r="L18" i="11"/>
  <c r="O9" i="6"/>
  <c r="L12" i="5" s="1"/>
  <c r="J12" i="5"/>
  <c r="J17" i="12"/>
  <c r="J17" i="5"/>
  <c r="J17" i="11"/>
  <c r="J23" i="10"/>
  <c r="H1" i="10"/>
  <c r="AT19" i="10"/>
  <c r="AA20" i="10"/>
  <c r="AT20" i="10" s="1"/>
  <c r="H30" i="10"/>
  <c r="N30" i="10" s="1"/>
  <c r="AF30" i="10" s="1"/>
  <c r="AG30" i="10" s="1"/>
  <c r="D30" i="10"/>
  <c r="AI18" i="10"/>
  <c r="N27" i="10"/>
  <c r="AF27" i="10" s="1"/>
  <c r="AG27" i="10" s="1"/>
  <c r="AA9" i="10"/>
  <c r="AT8" i="10"/>
  <c r="J29" i="10"/>
  <c r="I29" i="10"/>
  <c r="F27" i="10"/>
  <c r="E33" i="10"/>
  <c r="AH8" i="10"/>
  <c r="AI8" i="10" s="1"/>
  <c r="AI9" i="10" s="1"/>
  <c r="AK29" i="10"/>
  <c r="AW29" i="10" s="1"/>
  <c r="AA30" i="10"/>
  <c r="AT30" i="10" s="1"/>
  <c r="J13" i="10"/>
  <c r="D28" i="10"/>
  <c r="H28" i="10"/>
  <c r="N28" i="10" s="1"/>
  <c r="AF28" i="10" s="1"/>
  <c r="AG28" i="10" s="1"/>
  <c r="AL7" i="10"/>
  <c r="AV7" i="10"/>
  <c r="AN7" i="10"/>
  <c r="AH10" i="10"/>
  <c r="AN17" i="10"/>
  <c r="AL17" i="10"/>
  <c r="AV17" i="10"/>
  <c r="J30" i="10"/>
  <c r="I30" i="10"/>
  <c r="AA29" i="10"/>
  <c r="AT29" i="10" s="1"/>
  <c r="H28" i="6"/>
  <c r="N28" i="6" s="1"/>
  <c r="AF28" i="6" s="1"/>
  <c r="AG28" i="6" s="1"/>
  <c r="D28" i="6"/>
  <c r="AA18" i="6"/>
  <c r="L23" i="6"/>
  <c r="M23" i="6" s="1"/>
  <c r="D30" i="6"/>
  <c r="H30" i="6"/>
  <c r="N30" i="6" s="1"/>
  <c r="W29" i="6"/>
  <c r="H27" i="6"/>
  <c r="H29" i="6"/>
  <c r="N29" i="6" s="1"/>
  <c r="D29" i="6"/>
  <c r="J23" i="6"/>
  <c r="I33" i="6"/>
  <c r="N33" i="6" s="1"/>
  <c r="J27" i="6"/>
  <c r="F33" i="6"/>
  <c r="O28" i="6"/>
  <c r="L21" i="5" s="1"/>
  <c r="W28" i="6"/>
  <c r="AA19" i="6"/>
  <c r="AA20" i="6" s="1"/>
  <c r="I13" i="6"/>
  <c r="W10" i="6"/>
  <c r="J13" i="6"/>
  <c r="AM20" i="8"/>
  <c r="N13" i="8"/>
  <c r="O13" i="8" s="1"/>
  <c r="Q13" i="8" s="1"/>
  <c r="J3" i="8" s="1"/>
  <c r="AI23" i="8"/>
  <c r="Z9" i="8"/>
  <c r="AA9" i="8" s="1"/>
  <c r="AF7" i="8"/>
  <c r="Z10" i="8"/>
  <c r="AA10" i="8" s="1"/>
  <c r="Z7" i="9"/>
  <c r="AA7" i="9" s="1"/>
  <c r="AC18" i="9"/>
  <c r="Z20" i="9"/>
  <c r="Q18" i="7"/>
  <c r="AC19" i="7"/>
  <c r="AJ17" i="7"/>
  <c r="AK17" i="7" s="1"/>
  <c r="AN17" i="7" s="1"/>
  <c r="AC19" i="9"/>
  <c r="AC20" i="9" s="1"/>
  <c r="AM9" i="9"/>
  <c r="AM10" i="9" s="1"/>
  <c r="Z17" i="9"/>
  <c r="AA17" i="9" s="1"/>
  <c r="Z18" i="9"/>
  <c r="AA18" i="9" s="1"/>
  <c r="AD7" i="9"/>
  <c r="AF7" i="9"/>
  <c r="AI13" i="9"/>
  <c r="AJ7" i="9" s="1"/>
  <c r="AK7" i="9" s="1"/>
  <c r="O7" i="9"/>
  <c r="Q7" i="9" s="1"/>
  <c r="N13" i="9"/>
  <c r="O13" i="9" s="1"/>
  <c r="Z9" i="9"/>
  <c r="Z8" i="9"/>
  <c r="AA8" i="9" s="1"/>
  <c r="AI23" i="9"/>
  <c r="AJ20" i="9" s="1"/>
  <c r="AC8" i="9"/>
  <c r="AC9" i="9" s="1"/>
  <c r="AC10" i="9" s="1"/>
  <c r="AM19" i="9"/>
  <c r="AM20" i="9" s="1"/>
  <c r="AP7" i="8"/>
  <c r="AN7" i="8"/>
  <c r="AC20" i="8"/>
  <c r="AC9" i="8"/>
  <c r="AC10" i="8" s="1"/>
  <c r="AD7" i="8"/>
  <c r="AM8" i="8"/>
  <c r="Z17" i="8"/>
  <c r="AA17" i="8" s="1"/>
  <c r="AA18" i="8" s="1"/>
  <c r="Z19" i="8"/>
  <c r="Z20" i="8"/>
  <c r="AJ9" i="8"/>
  <c r="AF8" i="8"/>
  <c r="AD8" i="8"/>
  <c r="AK8" i="8"/>
  <c r="AM9" i="8"/>
  <c r="AM10" i="8" s="1"/>
  <c r="Q8" i="7"/>
  <c r="Y8" i="7"/>
  <c r="Y9" i="7"/>
  <c r="Q9" i="7"/>
  <c r="N13" i="7"/>
  <c r="O13" i="7" s="1"/>
  <c r="O7" i="7"/>
  <c r="AP17" i="7"/>
  <c r="AC20" i="7"/>
  <c r="AJ9" i="7"/>
  <c r="L13" i="7"/>
  <c r="AJ18" i="7"/>
  <c r="AK18" i="7" s="1"/>
  <c r="AK19" i="7" s="1"/>
  <c r="AJ20" i="7"/>
  <c r="N23" i="7"/>
  <c r="O23" i="7" s="1"/>
  <c r="Q23" i="7" s="1"/>
  <c r="O17" i="7"/>
  <c r="AJ7" i="7"/>
  <c r="AK7" i="7" s="1"/>
  <c r="AM8" i="7"/>
  <c r="AM9" i="7" s="1"/>
  <c r="AM10" i="7" s="1"/>
  <c r="AM18" i="7"/>
  <c r="AM19" i="7" s="1"/>
  <c r="AM20" i="7" s="1"/>
  <c r="AJ8" i="7"/>
  <c r="AK8" i="6"/>
  <c r="AK9" i="6" s="1"/>
  <c r="AK10" i="6" s="1"/>
  <c r="W9" i="6"/>
  <c r="L13" i="6"/>
  <c r="M13" i="6" s="1"/>
  <c r="AA8" i="6"/>
  <c r="AA9" i="6" s="1"/>
  <c r="AA10" i="6" s="1"/>
  <c r="AH7" i="6"/>
  <c r="AI7" i="6" s="1"/>
  <c r="AL7" i="6" s="1"/>
  <c r="AH9" i="6"/>
  <c r="AN17" i="6"/>
  <c r="AL17" i="6"/>
  <c r="W7" i="6"/>
  <c r="O7" i="6"/>
  <c r="L10" i="5" s="1"/>
  <c r="AH19" i="6"/>
  <c r="AH10" i="6"/>
  <c r="AH20" i="6"/>
  <c r="AH18" i="6"/>
  <c r="AI18" i="6" s="1"/>
  <c r="O8" i="6"/>
  <c r="L11" i="5" s="1"/>
  <c r="W8" i="6"/>
  <c r="AK18" i="6"/>
  <c r="AK19" i="6" s="1"/>
  <c r="AK20" i="6" s="1"/>
  <c r="W17" i="6"/>
  <c r="W23" i="6" s="1"/>
  <c r="O17" i="6"/>
  <c r="L15" i="5" s="1"/>
  <c r="AH8" i="6"/>
  <c r="AJ31" i="4"/>
  <c r="AJ32" i="4"/>
  <c r="AC28" i="4"/>
  <c r="AJ20" i="4"/>
  <c r="AM11" i="4"/>
  <c r="AM12" i="4" s="1"/>
  <c r="AJ30" i="4"/>
  <c r="AJ29" i="4"/>
  <c r="AJ28" i="4"/>
  <c r="AJ17" i="4"/>
  <c r="AK17" i="4" s="1"/>
  <c r="AJ8" i="4"/>
  <c r="AJ9" i="4"/>
  <c r="AJ10" i="4"/>
  <c r="AJ11" i="4"/>
  <c r="AJ12" i="4"/>
  <c r="AJ7" i="4"/>
  <c r="AK7" i="4" s="1"/>
  <c r="AP27" i="4"/>
  <c r="AN27" i="4"/>
  <c r="AK28" i="4"/>
  <c r="AC29" i="4"/>
  <c r="AC30" i="4" s="1"/>
  <c r="AC31" i="4" s="1"/>
  <c r="Z22" i="4"/>
  <c r="Z18" i="4"/>
  <c r="Z17" i="4"/>
  <c r="AA17" i="4" s="1"/>
  <c r="AF17" i="4" s="1"/>
  <c r="Q27" i="4"/>
  <c r="X27" i="4"/>
  <c r="Y27" i="4" s="1"/>
  <c r="Q8" i="4"/>
  <c r="Y8" i="4"/>
  <c r="Z19" i="4"/>
  <c r="Z21" i="4"/>
  <c r="AC19" i="4"/>
  <c r="N33" i="4"/>
  <c r="O33" i="4" s="1"/>
  <c r="Q33" i="4" s="1"/>
  <c r="Q23" i="4"/>
  <c r="J1" i="4"/>
  <c r="AC8" i="4"/>
  <c r="AC9" i="4" s="1"/>
  <c r="AC10" i="4" s="1"/>
  <c r="AC11" i="4" s="1"/>
  <c r="AC12" i="4" s="1"/>
  <c r="O9" i="4"/>
  <c r="X9" i="4" s="1"/>
  <c r="L10" i="4"/>
  <c r="N10" i="4" s="1"/>
  <c r="L23" i="10" l="1"/>
  <c r="M23" i="10" s="1"/>
  <c r="O23" i="10" s="1"/>
  <c r="L13" i="10"/>
  <c r="M13" i="10" s="1"/>
  <c r="L11" i="11"/>
  <c r="L11" i="12"/>
  <c r="G23" i="12"/>
  <c r="G23" i="11"/>
  <c r="G22" i="11"/>
  <c r="G22" i="12"/>
  <c r="O28" i="10"/>
  <c r="I21" i="12"/>
  <c r="I21" i="11"/>
  <c r="W23" i="10"/>
  <c r="X19" i="10" s="1"/>
  <c r="O10" i="10"/>
  <c r="J13" i="12"/>
  <c r="J13" i="11"/>
  <c r="W10" i="10"/>
  <c r="M13" i="11"/>
  <c r="M13" i="12"/>
  <c r="V30" i="10"/>
  <c r="W30" i="10" s="1"/>
  <c r="I13" i="12"/>
  <c r="I13" i="11"/>
  <c r="O9" i="10"/>
  <c r="J12" i="12"/>
  <c r="J12" i="11"/>
  <c r="L15" i="11"/>
  <c r="L15" i="12"/>
  <c r="M10" i="11"/>
  <c r="W7" i="10"/>
  <c r="M10" i="12"/>
  <c r="V27" i="10"/>
  <c r="W27" i="10" s="1"/>
  <c r="M7" i="10"/>
  <c r="I10" i="12"/>
  <c r="I10" i="11"/>
  <c r="O23" i="6"/>
  <c r="J19" i="11"/>
  <c r="J19" i="12"/>
  <c r="J19" i="5"/>
  <c r="H2" i="6"/>
  <c r="I3" i="6" s="1"/>
  <c r="J14" i="12"/>
  <c r="J14" i="11"/>
  <c r="J14" i="5"/>
  <c r="AV9" i="10"/>
  <c r="AN9" i="10"/>
  <c r="AL9" i="10"/>
  <c r="AV18" i="10"/>
  <c r="AN18" i="10"/>
  <c r="AL18" i="10"/>
  <c r="AI19" i="10"/>
  <c r="AK30" i="10"/>
  <c r="AW30" i="10" s="1"/>
  <c r="AH28" i="10"/>
  <c r="AI28" i="10" s="1"/>
  <c r="AA10" i="10"/>
  <c r="AT10" i="10" s="1"/>
  <c r="AT9" i="10"/>
  <c r="AV8" i="10"/>
  <c r="AN8" i="10"/>
  <c r="AL8" i="10"/>
  <c r="AI10" i="10"/>
  <c r="F33" i="10"/>
  <c r="J27" i="10"/>
  <c r="I27" i="10"/>
  <c r="I33" i="10" s="1"/>
  <c r="N33" i="10" s="1"/>
  <c r="H33" i="10"/>
  <c r="O13" i="10"/>
  <c r="H3" i="10" s="1"/>
  <c r="H2" i="10"/>
  <c r="AH30" i="10"/>
  <c r="AG33" i="10"/>
  <c r="AH29" i="10" s="1"/>
  <c r="AH27" i="10"/>
  <c r="AI27" i="10" s="1"/>
  <c r="N27" i="6"/>
  <c r="AF27" i="6" s="1"/>
  <c r="AG27" i="6" s="1"/>
  <c r="H33" i="6"/>
  <c r="AF29" i="6"/>
  <c r="AG29" i="6" s="1"/>
  <c r="O29" i="6"/>
  <c r="L22" i="5" s="1"/>
  <c r="AF30" i="6"/>
  <c r="AG30" i="6" s="1"/>
  <c r="O30" i="6"/>
  <c r="L23" i="5" s="1"/>
  <c r="L27" i="6"/>
  <c r="J33" i="6"/>
  <c r="N13" i="6"/>
  <c r="H1" i="6" s="1"/>
  <c r="AJ19" i="8"/>
  <c r="AJ18" i="8"/>
  <c r="AJ17" i="8"/>
  <c r="AK17" i="8" s="1"/>
  <c r="AJ20" i="8"/>
  <c r="AK20" i="7"/>
  <c r="AJ17" i="9"/>
  <c r="AK17" i="9" s="1"/>
  <c r="AJ8" i="9"/>
  <c r="AK8" i="9" s="1"/>
  <c r="AJ10" i="9"/>
  <c r="AJ9" i="9"/>
  <c r="AK9" i="9" s="1"/>
  <c r="AA9" i="9"/>
  <c r="AJ19" i="9"/>
  <c r="AJ18" i="9"/>
  <c r="AK18" i="9" s="1"/>
  <c r="AN7" i="9"/>
  <c r="AP7" i="9"/>
  <c r="AF8" i="9"/>
  <c r="AD8" i="9"/>
  <c r="AD18" i="9"/>
  <c r="AF18" i="9"/>
  <c r="AD17" i="9"/>
  <c r="AF17" i="9"/>
  <c r="Q13" i="9"/>
  <c r="J3" i="9" s="1"/>
  <c r="AA19" i="9"/>
  <c r="AF18" i="8"/>
  <c r="AD18" i="8"/>
  <c r="AF10" i="8"/>
  <c r="AD10" i="8"/>
  <c r="AD9" i="8"/>
  <c r="AD13" i="8" s="1"/>
  <c r="AE7" i="8" s="1"/>
  <c r="Q1" i="8" s="1"/>
  <c r="AA19" i="8"/>
  <c r="AA20" i="8" s="1"/>
  <c r="AF9" i="8"/>
  <c r="AP8" i="8"/>
  <c r="AN8" i="8"/>
  <c r="AD17" i="8"/>
  <c r="AF17" i="8"/>
  <c r="AK9" i="8"/>
  <c r="AK8" i="7"/>
  <c r="AK9" i="7" s="1"/>
  <c r="AN20" i="7"/>
  <c r="AP20" i="7"/>
  <c r="Y7" i="7"/>
  <c r="Q7" i="7"/>
  <c r="Q13" i="7"/>
  <c r="J3" i="7" s="1"/>
  <c r="Y17" i="7"/>
  <c r="Q17" i="7"/>
  <c r="AN19" i="7"/>
  <c r="AP19" i="7"/>
  <c r="AN18" i="7"/>
  <c r="AP18" i="7"/>
  <c r="AP7" i="7"/>
  <c r="AN7" i="7"/>
  <c r="AN7" i="6"/>
  <c r="AI8" i="6"/>
  <c r="AN8" i="6" s="1"/>
  <c r="O13" i="6"/>
  <c r="X17" i="6"/>
  <c r="Y17" i="6" s="1"/>
  <c r="AS17" i="6" s="1"/>
  <c r="AN18" i="6"/>
  <c r="AL18" i="6"/>
  <c r="W13" i="6"/>
  <c r="X7" i="6" s="1"/>
  <c r="Y7" i="6" s="1"/>
  <c r="AS7" i="6" s="1"/>
  <c r="AI19" i="6"/>
  <c r="AK8" i="4"/>
  <c r="AK9" i="4" s="1"/>
  <c r="AK18" i="4"/>
  <c r="AN17" i="4"/>
  <c r="AP17" i="4"/>
  <c r="AP7" i="4"/>
  <c r="AN8" i="4"/>
  <c r="AP9" i="4"/>
  <c r="AN7" i="4"/>
  <c r="AP8" i="4"/>
  <c r="AP28" i="4"/>
  <c r="AN28" i="4"/>
  <c r="AK29" i="4"/>
  <c r="Y33" i="4"/>
  <c r="AD17" i="4"/>
  <c r="AA18" i="4"/>
  <c r="AF18" i="4" s="1"/>
  <c r="Q9" i="4"/>
  <c r="Y9" i="4"/>
  <c r="AC20" i="4"/>
  <c r="AC32" i="4"/>
  <c r="O10" i="4"/>
  <c r="X10" i="4" s="1"/>
  <c r="L11" i="4"/>
  <c r="I3" i="10" l="1"/>
  <c r="L21" i="11"/>
  <c r="L21" i="12"/>
  <c r="I22" i="12"/>
  <c r="I22" i="11"/>
  <c r="J33" i="10"/>
  <c r="G20" i="11"/>
  <c r="G20" i="12"/>
  <c r="J21" i="12"/>
  <c r="J21" i="11"/>
  <c r="I23" i="11"/>
  <c r="I23" i="12"/>
  <c r="X17" i="10"/>
  <c r="Y17" i="10" s="1"/>
  <c r="X20" i="10"/>
  <c r="X18" i="10"/>
  <c r="W33" i="10"/>
  <c r="X28" i="10" s="1"/>
  <c r="L13" i="12"/>
  <c r="L13" i="11"/>
  <c r="L12" i="12"/>
  <c r="L12" i="11"/>
  <c r="O7" i="10"/>
  <c r="J10" i="12"/>
  <c r="J10" i="11"/>
  <c r="X7" i="10"/>
  <c r="H3" i="6"/>
  <c r="L14" i="5"/>
  <c r="L14" i="12"/>
  <c r="L14" i="11"/>
  <c r="L19" i="12"/>
  <c r="L19" i="5"/>
  <c r="L19" i="11"/>
  <c r="AN19" i="10"/>
  <c r="AL19" i="10"/>
  <c r="AV19" i="10"/>
  <c r="AI20" i="10"/>
  <c r="AL10" i="10"/>
  <c r="AL13" i="10" s="1"/>
  <c r="AM7" i="10" s="1"/>
  <c r="P1" i="10" s="1"/>
  <c r="AV10" i="10"/>
  <c r="AN10" i="10"/>
  <c r="AL27" i="10"/>
  <c r="AV27" i="10"/>
  <c r="AL28" i="10"/>
  <c r="AV28" i="10"/>
  <c r="AI29" i="10"/>
  <c r="M27" i="6"/>
  <c r="J20" i="5" s="1"/>
  <c r="L33" i="6"/>
  <c r="M33" i="6" s="1"/>
  <c r="AG33" i="6"/>
  <c r="AH28" i="6" s="1"/>
  <c r="AH27" i="6"/>
  <c r="AI27" i="6" s="1"/>
  <c r="AL27" i="6" s="1"/>
  <c r="AI9" i="6"/>
  <c r="AN17" i="8"/>
  <c r="AP17" i="8"/>
  <c r="AK18" i="8"/>
  <c r="AK19" i="8"/>
  <c r="AK19" i="9"/>
  <c r="AN23" i="7"/>
  <c r="AO17" i="7" s="1"/>
  <c r="S2" i="7" s="1"/>
  <c r="AP19" i="9"/>
  <c r="AN19" i="9"/>
  <c r="AF9" i="9"/>
  <c r="AD9" i="9"/>
  <c r="AA10" i="9"/>
  <c r="AN8" i="9"/>
  <c r="AP8" i="9"/>
  <c r="AF19" i="9"/>
  <c r="AD19" i="9"/>
  <c r="AA20" i="9"/>
  <c r="AP17" i="9"/>
  <c r="AN17" i="9"/>
  <c r="AN9" i="9"/>
  <c r="AP9" i="9"/>
  <c r="AK10" i="9"/>
  <c r="AN18" i="9"/>
  <c r="AP18" i="9"/>
  <c r="AK20" i="9"/>
  <c r="AP9" i="8"/>
  <c r="AN9" i="8"/>
  <c r="AK10" i="8"/>
  <c r="AD19" i="8"/>
  <c r="AF19" i="8"/>
  <c r="AD20" i="8"/>
  <c r="AF20" i="8"/>
  <c r="AN8" i="7"/>
  <c r="AP8" i="7"/>
  <c r="AP9" i="7"/>
  <c r="AN9" i="7"/>
  <c r="AK10" i="7"/>
  <c r="Y23" i="7"/>
  <c r="Z17" i="7" s="1"/>
  <c r="AA17" i="7" s="1"/>
  <c r="Y13" i="7"/>
  <c r="Z7" i="7" s="1"/>
  <c r="AA7" i="7" s="1"/>
  <c r="AL8" i="6"/>
  <c r="X8" i="6"/>
  <c r="Y8" i="6" s="1"/>
  <c r="AS8" i="6" s="1"/>
  <c r="AD7" i="6"/>
  <c r="AB7" i="6"/>
  <c r="AN9" i="6"/>
  <c r="AL9" i="6"/>
  <c r="AI10" i="6"/>
  <c r="X18" i="6"/>
  <c r="Y18" i="6" s="1"/>
  <c r="AS18" i="6" s="1"/>
  <c r="X19" i="6"/>
  <c r="X20" i="6"/>
  <c r="AN19" i="6"/>
  <c r="AL19" i="6"/>
  <c r="X10" i="6"/>
  <c r="X9" i="6"/>
  <c r="AD17" i="6"/>
  <c r="AB17" i="6"/>
  <c r="AI20" i="6"/>
  <c r="AK10" i="4"/>
  <c r="AN9" i="4"/>
  <c r="AK19" i="4"/>
  <c r="AP18" i="4"/>
  <c r="AN18" i="4"/>
  <c r="AP29" i="4"/>
  <c r="AN29" i="4"/>
  <c r="AK30" i="4"/>
  <c r="AD18" i="4"/>
  <c r="Z30" i="4"/>
  <c r="Z31" i="4"/>
  <c r="Z29" i="4"/>
  <c r="Z28" i="4"/>
  <c r="Z32" i="4"/>
  <c r="Q10" i="4"/>
  <c r="Y10" i="4"/>
  <c r="Z27" i="4"/>
  <c r="AA27" i="4" s="1"/>
  <c r="AF27" i="4" s="1"/>
  <c r="AA19" i="4"/>
  <c r="AF19" i="4" s="1"/>
  <c r="AC21" i="4"/>
  <c r="N11" i="4"/>
  <c r="Y7" i="10" l="1"/>
  <c r="H27" i="12" s="1"/>
  <c r="G27" i="12"/>
  <c r="Y18" i="10"/>
  <c r="AB18" i="10" s="1"/>
  <c r="I20" i="12"/>
  <c r="I20" i="11"/>
  <c r="O29" i="10"/>
  <c r="J22" i="12"/>
  <c r="J22" i="11"/>
  <c r="O30" i="10"/>
  <c r="J23" i="11"/>
  <c r="J23" i="12"/>
  <c r="X27" i="10"/>
  <c r="Y27" i="10" s="1"/>
  <c r="Y28" i="10" s="1"/>
  <c r="AB28" i="10" s="1"/>
  <c r="Y19" i="10"/>
  <c r="X29" i="10"/>
  <c r="X30" i="10"/>
  <c r="AD17" i="10"/>
  <c r="AB17" i="10"/>
  <c r="AS17" i="10"/>
  <c r="AB7" i="10"/>
  <c r="K27" i="12" s="1"/>
  <c r="AS7" i="10"/>
  <c r="AD7" i="10"/>
  <c r="X9" i="10"/>
  <c r="G29" i="12" s="1"/>
  <c r="X10" i="10"/>
  <c r="G30" i="12" s="1"/>
  <c r="X8" i="10"/>
  <c r="L10" i="12"/>
  <c r="L10" i="11"/>
  <c r="O33" i="6"/>
  <c r="E4" i="5"/>
  <c r="E5" i="5" s="1"/>
  <c r="J24" i="11"/>
  <c r="J24" i="12"/>
  <c r="J24" i="5"/>
  <c r="AL29" i="10"/>
  <c r="AV29" i="10"/>
  <c r="AI30" i="10"/>
  <c r="M33" i="10"/>
  <c r="AN20" i="10"/>
  <c r="AL20" i="10"/>
  <c r="AL23" i="10" s="1"/>
  <c r="AM17" i="10" s="1"/>
  <c r="P2" i="10" s="1"/>
  <c r="AV20" i="10"/>
  <c r="AI28" i="6"/>
  <c r="AL28" i="6" s="1"/>
  <c r="AH29" i="6"/>
  <c r="AI29" i="6" s="1"/>
  <c r="AL29" i="6" s="1"/>
  <c r="AH30" i="6"/>
  <c r="AI30" i="6" s="1"/>
  <c r="AL30" i="6" s="1"/>
  <c r="W27" i="6"/>
  <c r="O27" i="6"/>
  <c r="L20" i="5" s="1"/>
  <c r="Y19" i="6"/>
  <c r="AD23" i="8"/>
  <c r="AE17" i="8" s="1"/>
  <c r="Q2" i="8" s="1"/>
  <c r="AK20" i="8"/>
  <c r="AN19" i="8"/>
  <c r="AP19" i="8"/>
  <c r="AP18" i="8"/>
  <c r="AN18" i="8"/>
  <c r="AN10" i="9"/>
  <c r="AN13" i="9" s="1"/>
  <c r="AO7" i="9" s="1"/>
  <c r="S1" i="9" s="1"/>
  <c r="AP10" i="9"/>
  <c r="AD20" i="9"/>
  <c r="AD23" i="9" s="1"/>
  <c r="AE17" i="9" s="1"/>
  <c r="Q2" i="9" s="1"/>
  <c r="AF20" i="9"/>
  <c r="AN20" i="9"/>
  <c r="AN23" i="9" s="1"/>
  <c r="AO17" i="9" s="1"/>
  <c r="S2" i="9" s="1"/>
  <c r="AP20" i="9"/>
  <c r="AF10" i="9"/>
  <c r="AD10" i="9"/>
  <c r="AD13" i="9" s="1"/>
  <c r="AE7" i="9" s="1"/>
  <c r="Q1" i="9" s="1"/>
  <c r="AP10" i="8"/>
  <c r="AN10" i="8"/>
  <c r="AN13" i="8" s="1"/>
  <c r="AO7" i="8" s="1"/>
  <c r="S1" i="8" s="1"/>
  <c r="AF7" i="7"/>
  <c r="AD7" i="7"/>
  <c r="Z18" i="7"/>
  <c r="AA18" i="7" s="1"/>
  <c r="Z20" i="7"/>
  <c r="Z19" i="7"/>
  <c r="AP10" i="7"/>
  <c r="AN10" i="7"/>
  <c r="AN13" i="7" s="1"/>
  <c r="AO7" i="7" s="1"/>
  <c r="S1" i="7" s="1"/>
  <c r="AF17" i="7"/>
  <c r="AD17" i="7"/>
  <c r="Z10" i="7"/>
  <c r="Z8" i="7"/>
  <c r="AA8" i="7" s="1"/>
  <c r="Z9" i="7"/>
  <c r="AA9" i="7" s="1"/>
  <c r="Y9" i="6"/>
  <c r="AN20" i="6"/>
  <c r="AL20" i="6"/>
  <c r="AD18" i="6"/>
  <c r="AB18" i="6"/>
  <c r="AN10" i="6"/>
  <c r="AL10" i="6"/>
  <c r="AD8" i="6"/>
  <c r="AB8" i="6"/>
  <c r="AN10" i="4"/>
  <c r="AP10" i="4"/>
  <c r="AK11" i="4"/>
  <c r="AK20" i="4"/>
  <c r="AP19" i="4"/>
  <c r="AN19" i="4"/>
  <c r="AN30" i="4"/>
  <c r="AP30" i="4"/>
  <c r="AK31" i="4"/>
  <c r="AA28" i="4"/>
  <c r="AF28" i="4" s="1"/>
  <c r="AD19" i="4"/>
  <c r="AA20" i="4"/>
  <c r="AF20" i="4" s="1"/>
  <c r="AD27" i="4"/>
  <c r="AC22" i="4"/>
  <c r="O11" i="4"/>
  <c r="X11" i="4" s="1"/>
  <c r="L12" i="4"/>
  <c r="L13" i="4" s="1"/>
  <c r="Y8" i="10" l="1"/>
  <c r="H28" i="12" s="1"/>
  <c r="G28" i="12"/>
  <c r="AD18" i="10"/>
  <c r="AS18" i="10"/>
  <c r="AS28" i="10"/>
  <c r="AD28" i="10"/>
  <c r="Y29" i="10"/>
  <c r="AD29" i="10" s="1"/>
  <c r="AD27" i="10"/>
  <c r="AS27" i="10"/>
  <c r="AB27" i="10"/>
  <c r="O33" i="10"/>
  <c r="G6" i="12"/>
  <c r="E4" i="11"/>
  <c r="E5" i="11" s="1"/>
  <c r="L23" i="12"/>
  <c r="L23" i="11"/>
  <c r="L22" i="12"/>
  <c r="L22" i="11"/>
  <c r="O27" i="10"/>
  <c r="J20" i="11"/>
  <c r="J20" i="12"/>
  <c r="AB29" i="10"/>
  <c r="AS29" i="10"/>
  <c r="Y20" i="10"/>
  <c r="AS19" i="10"/>
  <c r="AD19" i="10"/>
  <c r="AB19" i="10"/>
  <c r="AB8" i="10"/>
  <c r="K28" i="12" s="1"/>
  <c r="AD8" i="10"/>
  <c r="AS8" i="10"/>
  <c r="Y9" i="10"/>
  <c r="H29" i="12" s="1"/>
  <c r="AB19" i="6"/>
  <c r="AS19" i="6"/>
  <c r="AB9" i="6"/>
  <c r="AS9" i="6"/>
  <c r="L24" i="5"/>
  <c r="L24" i="12"/>
  <c r="L24" i="11"/>
  <c r="AV30" i="10"/>
  <c r="AL30" i="10"/>
  <c r="AL33" i="10" s="1"/>
  <c r="AM27" i="10" s="1"/>
  <c r="P3" i="10" s="1"/>
  <c r="W33" i="6"/>
  <c r="X27" i="6" s="1"/>
  <c r="Y27" i="6" s="1"/>
  <c r="AS27" i="6" s="1"/>
  <c r="Y20" i="6"/>
  <c r="AD19" i="6"/>
  <c r="AL33" i="6"/>
  <c r="AM27" i="6" s="1"/>
  <c r="P3" i="6" s="1"/>
  <c r="Y10" i="6"/>
  <c r="AD9" i="6"/>
  <c r="AP20" i="8"/>
  <c r="AN20" i="8"/>
  <c r="AN23" i="8" s="1"/>
  <c r="AO17" i="8" s="1"/>
  <c r="S2" i="8" s="1"/>
  <c r="AD18" i="7"/>
  <c r="AF18" i="7"/>
  <c r="AD9" i="7"/>
  <c r="AF9" i="7"/>
  <c r="AF8" i="7"/>
  <c r="AD8" i="7"/>
  <c r="AA19" i="7"/>
  <c r="AA20" i="7" s="1"/>
  <c r="AA10" i="7"/>
  <c r="AP11" i="4"/>
  <c r="AN11" i="4"/>
  <c r="AK12" i="4"/>
  <c r="AA29" i="4"/>
  <c r="AA30" i="4" s="1"/>
  <c r="AD28" i="4"/>
  <c r="AK21" i="4"/>
  <c r="AN20" i="4"/>
  <c r="AP20" i="4"/>
  <c r="AP31" i="4"/>
  <c r="AN31" i="4"/>
  <c r="AK32" i="4"/>
  <c r="AA21" i="4"/>
  <c r="AF21" i="4" s="1"/>
  <c r="AD20" i="4"/>
  <c r="Q11" i="4"/>
  <c r="Y11" i="4"/>
  <c r="AD29" i="4"/>
  <c r="N12" i="4"/>
  <c r="Y30" i="10" l="1"/>
  <c r="AS30" i="10" s="1"/>
  <c r="L20" i="12"/>
  <c r="L20" i="11"/>
  <c r="AB30" i="10"/>
  <c r="AB33" i="10" s="1"/>
  <c r="AC27" i="10" s="1"/>
  <c r="N3" i="10" s="1"/>
  <c r="Q3" i="10" s="1"/>
  <c r="AS20" i="10"/>
  <c r="AD20" i="10"/>
  <c r="AB20" i="10"/>
  <c r="AB23" i="10" s="1"/>
  <c r="AC17" i="10" s="1"/>
  <c r="N2" i="10" s="1"/>
  <c r="AD9" i="10"/>
  <c r="AB9" i="10"/>
  <c r="K29" i="12" s="1"/>
  <c r="AS9" i="10"/>
  <c r="Y10" i="10"/>
  <c r="H30" i="12" s="1"/>
  <c r="AB20" i="6"/>
  <c r="AB23" i="6" s="1"/>
  <c r="AC17" i="6" s="1"/>
  <c r="N2" i="6" s="1"/>
  <c r="AS20" i="6"/>
  <c r="AD10" i="6"/>
  <c r="AS10" i="6"/>
  <c r="AB27" i="6"/>
  <c r="AD27" i="6"/>
  <c r="X30" i="6"/>
  <c r="X28" i="6"/>
  <c r="Y28" i="6" s="1"/>
  <c r="AS28" i="6" s="1"/>
  <c r="X29" i="6"/>
  <c r="AD20" i="6"/>
  <c r="AB10" i="6"/>
  <c r="AD19" i="7"/>
  <c r="AF19" i="7"/>
  <c r="AD20" i="7"/>
  <c r="AF20" i="7"/>
  <c r="AF10" i="7"/>
  <c r="AD10" i="7"/>
  <c r="AD13" i="7" s="1"/>
  <c r="AE7" i="7" s="1"/>
  <c r="Q1" i="7" s="1"/>
  <c r="AL23" i="6"/>
  <c r="AM17" i="6" s="1"/>
  <c r="P2" i="6" s="1"/>
  <c r="Q2" i="6" s="1"/>
  <c r="AL13" i="6"/>
  <c r="AM7" i="6" s="1"/>
  <c r="P1" i="6" s="1"/>
  <c r="AF30" i="4"/>
  <c r="AD30" i="4"/>
  <c r="AA31" i="4"/>
  <c r="AF31" i="4" s="1"/>
  <c r="AF29" i="4"/>
  <c r="AP12" i="4"/>
  <c r="AN12" i="4"/>
  <c r="AN13" i="4" s="1"/>
  <c r="AO7" i="4" s="1"/>
  <c r="S1" i="4" s="1"/>
  <c r="AP21" i="4"/>
  <c r="AK22" i="4"/>
  <c r="AN21" i="4"/>
  <c r="AP32" i="4"/>
  <c r="AN32" i="4"/>
  <c r="AN33" i="4"/>
  <c r="AO27" i="4" s="1"/>
  <c r="S3" i="4" s="1"/>
  <c r="AD21" i="4"/>
  <c r="AA22" i="4"/>
  <c r="AF22" i="4" s="1"/>
  <c r="AD31" i="4"/>
  <c r="AA32" i="4"/>
  <c r="AF32" i="4" s="1"/>
  <c r="N13" i="4"/>
  <c r="O12" i="4"/>
  <c r="X12" i="4" s="1"/>
  <c r="AD30" i="10" l="1"/>
  <c r="N20" i="11"/>
  <c r="N20" i="12"/>
  <c r="J4" i="11"/>
  <c r="J5" i="11" s="1"/>
  <c r="J5" i="12"/>
  <c r="J6" i="12" s="1"/>
  <c r="I4" i="11"/>
  <c r="I5" i="11" s="1"/>
  <c r="I5" i="12"/>
  <c r="I6" i="12" s="1"/>
  <c r="N15" i="11"/>
  <c r="N15" i="12"/>
  <c r="Q2" i="10"/>
  <c r="AB10" i="10"/>
  <c r="AD10" i="10"/>
  <c r="AS10" i="10"/>
  <c r="N15" i="5"/>
  <c r="I4" i="5"/>
  <c r="I5" i="5" s="1"/>
  <c r="Y29" i="6"/>
  <c r="AD29" i="6"/>
  <c r="AB28" i="6"/>
  <c r="AD28" i="6"/>
  <c r="AD23" i="7"/>
  <c r="AE17" i="7" s="1"/>
  <c r="Q2" i="7" s="1"/>
  <c r="AB13" i="6"/>
  <c r="AC7" i="6" s="1"/>
  <c r="AP22" i="4"/>
  <c r="AN22" i="4"/>
  <c r="AN23" i="4" s="1"/>
  <c r="AO17" i="4" s="1"/>
  <c r="S2" i="4" s="1"/>
  <c r="AD32" i="4"/>
  <c r="AD33" i="4" s="1"/>
  <c r="AE27" i="4" s="1"/>
  <c r="Q3" i="4" s="1"/>
  <c r="AD22" i="4"/>
  <c r="AD23" i="4" s="1"/>
  <c r="AE17" i="4" s="1"/>
  <c r="Q2" i="4" s="1"/>
  <c r="Q12" i="4"/>
  <c r="Y12" i="4"/>
  <c r="J2" i="4"/>
  <c r="Q13" i="4"/>
  <c r="J3" i="4" s="1"/>
  <c r="AC7" i="10" l="1"/>
  <c r="L27" i="12" s="1"/>
  <c r="K30" i="12"/>
  <c r="N10" i="12"/>
  <c r="N10" i="11"/>
  <c r="N1" i="10"/>
  <c r="AS29" i="6"/>
  <c r="AB29" i="6"/>
  <c r="Y30" i="6"/>
  <c r="N1" i="6"/>
  <c r="N10" i="5"/>
  <c r="Y13" i="4"/>
  <c r="H5" i="12" l="1"/>
  <c r="H6" i="12" s="1"/>
  <c r="H4" i="11"/>
  <c r="H5" i="11" s="1"/>
  <c r="Q1" i="10"/>
  <c r="AS30" i="6"/>
  <c r="AD30" i="6"/>
  <c r="AB30" i="6"/>
  <c r="AB33" i="6" s="1"/>
  <c r="AC27" i="6" s="1"/>
  <c r="N3" i="6" s="1"/>
  <c r="Q1" i="6"/>
  <c r="H4" i="5"/>
  <c r="H5" i="5" s="1"/>
  <c r="Z7" i="4"/>
  <c r="AA7" i="4" s="1"/>
  <c r="AF7" i="4" s="1"/>
  <c r="Z8" i="4"/>
  <c r="AA8" i="4" s="1"/>
  <c r="AF8" i="4" s="1"/>
  <c r="Z9" i="4"/>
  <c r="Z10" i="4"/>
  <c r="Z11" i="4"/>
  <c r="Z12" i="4"/>
  <c r="Q3" i="6" l="1"/>
  <c r="J4" i="5"/>
  <c r="J5" i="5" s="1"/>
  <c r="N20" i="5"/>
  <c r="AA9" i="4"/>
  <c r="AD8" i="4"/>
  <c r="AD7" i="4"/>
  <c r="AD9" i="4" l="1"/>
  <c r="AF9" i="4"/>
  <c r="AA10" i="4"/>
  <c r="AD10" i="4"/>
  <c r="AA11" i="4" l="1"/>
  <c r="AF10" i="4"/>
  <c r="AF11" i="4" l="1"/>
  <c r="AA12" i="4"/>
  <c r="AD11" i="4"/>
  <c r="AF12" i="4" l="1"/>
  <c r="AD12" i="4"/>
  <c r="AD13" i="4" s="1"/>
  <c r="AE7" i="4" s="1"/>
  <c r="Q1" i="4" s="1"/>
</calcChain>
</file>

<file path=xl/sharedStrings.xml><?xml version="1.0" encoding="utf-8"?>
<sst xmlns="http://schemas.openxmlformats.org/spreadsheetml/2006/main" count="1023" uniqueCount="194">
  <si>
    <t>ELI</t>
  </si>
  <si>
    <t>VLI</t>
  </si>
  <si>
    <t>LI</t>
  </si>
  <si>
    <t>MI</t>
  </si>
  <si>
    <t>MdI</t>
  </si>
  <si>
    <t>HI</t>
  </si>
  <si>
    <t>Income Category (annual/$)</t>
  </si>
  <si>
    <t>Percent</t>
  </si>
  <si>
    <t>Extremely Low Income (ELI)</t>
  </si>
  <si>
    <t>Very Low Income (VLI)</t>
  </si>
  <si>
    <t>Low Income (LI)</t>
  </si>
  <si>
    <t>Moderate Income (MI)</t>
  </si>
  <si>
    <t>Middle Income (MdI)</t>
  </si>
  <si>
    <t>High Income (HI)</t>
  </si>
  <si>
    <t>Number of households</t>
  </si>
  <si>
    <t>Rural Areas</t>
  </si>
  <si>
    <t>Small Cities</t>
  </si>
  <si>
    <t>Metro Regions</t>
  </si>
  <si>
    <t>Predicted 
Weekday (mi/d)</t>
  </si>
  <si>
    <t>Table3 
Mean VMT (mi/d)</t>
  </si>
  <si>
    <t>Holiday 
(mi/d)</t>
  </si>
  <si>
    <t>Annual 
(mi/yr)</t>
  </si>
  <si>
    <t>Sun 
(mi/d)</t>
  </si>
  <si>
    <t>Sat 
(mi/d)</t>
  </si>
  <si>
    <t>Your Count
 (#)</t>
  </si>
  <si>
    <t>Income 
Group</t>
  </si>
  <si>
    <t>LABEL</t>
  </si>
  <si>
    <t>Frequency</t>
  </si>
  <si>
    <t>50k–74,999</t>
  </si>
  <si>
    <t>75k–99,999</t>
  </si>
  <si>
    <t>100k–124,999</t>
  </si>
  <si>
    <t>35k–49,999</t>
  </si>
  <si>
    <t>25k–34,999</t>
  </si>
  <si>
    <t>≥200k</t>
  </si>
  <si>
    <t>15k–24,999</t>
  </si>
  <si>
    <t>150k–199,999</t>
  </si>
  <si>
    <t>125k–149,999</t>
  </si>
  <si>
    <t>10k–14,999</t>
  </si>
  <si>
    <t>&lt;10k</t>
  </si>
  <si>
    <t>Group</t>
  </si>
  <si>
    <t>Median</t>
  </si>
  <si>
    <t>(AMI)</t>
  </si>
  <si>
    <t>Area Median Income (AMI)</t>
  </si>
  <si>
    <t>AMI 区间</t>
  </si>
  <si>
    <t>实际数值 (AMI = 70,500)</t>
  </si>
  <si>
    <t>&lt; 21,150</t>
  </si>
  <si>
    <t>&lt; 35,250</t>
  </si>
  <si>
    <t>&lt; 56,400</t>
  </si>
  <si>
    <t>80–120%</t>
  </si>
  <si>
    <t>56,400–84,600</t>
  </si>
  <si>
    <t>120–150%</t>
  </si>
  <si>
    <t>84,600–105,750</t>
  </si>
  <si>
    <t>&gt;150%</t>
  </si>
  <si>
    <t>&gt;105,750</t>
  </si>
  <si>
    <t>原收入区间</t>
  </si>
  <si>
    <t>10–14,999</t>
  </si>
  <si>
    <t>15–24,999</t>
  </si>
  <si>
    <r>
      <t>ELI</t>
    </r>
    <r>
      <rPr>
        <sz val="11"/>
        <color theme="1"/>
        <rFont val="Calibri"/>
        <family val="2"/>
        <scheme val="minor"/>
      </rPr>
      <t>（接近 30% AMI）</t>
    </r>
  </si>
  <si>
    <t>25–34,999</t>
  </si>
  <si>
    <t>35–49,999</t>
  </si>
  <si>
    <r>
      <t>VLI / LI 交界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LI</t>
    </r>
  </si>
  <si>
    <t>50–74,999</t>
  </si>
  <si>
    <t>75–99,999</t>
  </si>
  <si>
    <t>100–124,999</t>
  </si>
  <si>
    <t>125–149,999</t>
  </si>
  <si>
    <t>150–199,999</t>
  </si>
  <si>
    <t>New Income Group</t>
  </si>
  <si>
    <t>新 Group</t>
  </si>
  <si>
    <t>原区间包含</t>
  </si>
  <si>
    <t>ELI (&lt;21,150)</t>
  </si>
  <si>
    <t>&lt;10k, 10–14k, 15–24k</t>
  </si>
  <si>
    <t>VLI (&lt;35,250)</t>
  </si>
  <si>
    <t>25–34k</t>
  </si>
  <si>
    <t>LI (&lt;56,400)</t>
  </si>
  <si>
    <t>35–49k</t>
  </si>
  <si>
    <t>MI (56,400–84,600)</t>
  </si>
  <si>
    <t>50–74k</t>
  </si>
  <si>
    <t>MdI (84,600–105,750)</t>
  </si>
  <si>
    <t>75–99k</t>
  </si>
  <si>
    <t>HI (&gt;105,750)</t>
  </si>
  <si>
    <t>100–124k, 125–149k, 150–199k, ≥200k</t>
  </si>
  <si>
    <t>Free Mileage Quota Q (mi/HH/yr)</t>
  </si>
  <si>
    <t>VMT (mi/HH/yr)</t>
  </si>
  <si>
    <t>VMT (taxable)</t>
  </si>
  <si>
    <t>Optimized Revenue R ($)</t>
  </si>
  <si>
    <t>Current Revenue R ($)</t>
  </si>
  <si>
    <t>∆ ($ )</t>
  </si>
  <si>
    <t>beta ß</t>
  </si>
  <si>
    <t>∆g</t>
  </si>
  <si>
    <t>+</t>
  </si>
  <si>
    <t>Q after ß</t>
  </si>
  <si>
    <t>Current Total Revenue R ($)</t>
  </si>
  <si>
    <t>Optimized Total Revenue R ($)</t>
  </si>
  <si>
    <t xml:space="preserve">**current tax rate/mile r ($) = </t>
  </si>
  <si>
    <t>Adjusted parameter</t>
  </si>
  <si>
    <t>Auto Updated</t>
  </si>
  <si>
    <t>Adjusted Q</t>
  </si>
  <si>
    <t>(TBD)</t>
  </si>
  <si>
    <t xml:space="preserve">**optimized tax rate/mile r ($) = </t>
  </si>
  <si>
    <t>Ntotal</t>
  </si>
  <si>
    <t>Fuel Tax Burden Tˉk ($/HH/yr)</t>
  </si>
  <si>
    <t>Cum Tax Share Lk</t>
  </si>
  <si>
    <t>Tax Share Sk</t>
  </si>
  <si>
    <t>HH Share wk</t>
  </si>
  <si>
    <t>Cum HH Share Pk</t>
  </si>
  <si>
    <t>Nk​*Tˉk</t>
  </si>
  <si>
    <t>Gini Index</t>
  </si>
  <si>
    <t xml:space="preserve">Rural Area Gini Index (G) = </t>
  </si>
  <si>
    <t xml:space="preserve">Small Cities Gini Index (G) = </t>
  </si>
  <si>
    <t xml:space="preserve">Metro Regions Gini Index (G) = </t>
  </si>
  <si>
    <t>TBD</t>
  </si>
  <si>
    <t>Extra Mileage ∆g</t>
  </si>
  <si>
    <t>Old Gini Index</t>
  </si>
  <si>
    <t>Old Gini</t>
  </si>
  <si>
    <t xml:space="preserve"> Current VMT (mi/HH/yr)</t>
  </si>
  <si>
    <t>Predicted VMT (mi/HH/yr)</t>
  </si>
  <si>
    <t>Annual 
(mi/HH/yr)</t>
  </si>
  <si>
    <t>H</t>
  </si>
  <si>
    <t>L</t>
  </si>
  <si>
    <t>MH</t>
  </si>
  <si>
    <t>ML</t>
  </si>
  <si>
    <t>Urban</t>
  </si>
  <si>
    <t>Rural</t>
  </si>
  <si>
    <t>Weekly (mi/HH/wk)</t>
  </si>
  <si>
    <t>Predicted VMT 
(mi/HH/yr)</t>
  </si>
  <si>
    <t>Predicted VMT (mi/HH/wk)</t>
  </si>
  <si>
    <t>Scenairo</t>
  </si>
  <si>
    <t xml:space="preserve">Urban Gini Index (G) = </t>
  </si>
  <si>
    <t xml:space="preserve">Rural Gini Index (G) = </t>
  </si>
  <si>
    <t>Scenario 1</t>
  </si>
  <si>
    <t>Scenario 4</t>
  </si>
  <si>
    <t>Scenario 3</t>
  </si>
  <si>
    <t xml:space="preserve">**current tax rate/mile r ($/mi) = </t>
  </si>
  <si>
    <t xml:space="preserve">**optimized tax rate/mile r ($/mi) = </t>
  </si>
  <si>
    <t>Total</t>
  </si>
  <si>
    <t>Total Gini Index (G) =</t>
  </si>
  <si>
    <t>Old Gini Index (No free mileage)</t>
  </si>
  <si>
    <t>Gini Index with Free Mileage Quota</t>
  </si>
  <si>
    <t>Old Gini Index without Mileage Quota</t>
  </si>
  <si>
    <t>Income Group</t>
  </si>
  <si>
    <t>High</t>
  </si>
  <si>
    <t>Middle High</t>
  </si>
  <si>
    <t>Low</t>
  </si>
  <si>
    <t>Middle Low</t>
  </si>
  <si>
    <t>HH
 (#)</t>
  </si>
  <si>
    <t>Current
Mean VMT (mi/d)</t>
  </si>
  <si>
    <t>Current Annual 
(mi/HH/yr)</t>
  </si>
  <si>
    <t>Current Annual VMT 
(mi/HH/yr)</t>
  </si>
  <si>
    <t>Current
Weekly VMT (mi/wk)</t>
  </si>
  <si>
    <r>
      <t>Free Mileage Q</t>
    </r>
    <r>
      <rPr>
        <b/>
        <sz val="8"/>
        <color theme="1"/>
        <rFont val="Calibri (Body)"/>
      </rPr>
      <t>h</t>
    </r>
    <r>
      <rPr>
        <b/>
        <sz val="11"/>
        <color theme="1"/>
        <rFont val="Calibri"/>
        <family val="2"/>
        <scheme val="minor"/>
      </rPr>
      <t xml:space="preserve"> (mi/HH/yr)</t>
    </r>
  </si>
  <si>
    <t xml:space="preserve"> Change in Revenue ∆ ($ )</t>
  </si>
  <si>
    <t>Current Gini Index (G)</t>
  </si>
  <si>
    <t>Current</t>
  </si>
  <si>
    <t>Optimized</t>
  </si>
  <si>
    <t>Optimized Annual VMT 
(mi/HH/yr)</t>
  </si>
  <si>
    <t>Optimized Gini Index G</t>
  </si>
  <si>
    <t>Tax Rate ($/mi)</t>
  </si>
  <si>
    <t>%∆</t>
  </si>
  <si>
    <t>-</t>
  </si>
  <si>
    <t>Total Taxable VMT</t>
  </si>
  <si>
    <t>NEW</t>
  </si>
  <si>
    <t>OLD</t>
  </si>
  <si>
    <t>Predicted Weekly VMT (mi/HH/wk)</t>
  </si>
  <si>
    <t>Cum</t>
  </si>
  <si>
    <t>Total Revenue</t>
  </si>
  <si>
    <t>Extra Mileage ∆g (Area Effect)</t>
  </si>
  <si>
    <r>
      <t>Q</t>
    </r>
    <r>
      <rPr>
        <b/>
        <sz val="8"/>
        <color theme="1"/>
        <rFont val="Calibri (Body)"/>
      </rPr>
      <t>base</t>
    </r>
    <r>
      <rPr>
        <b/>
        <sz val="11"/>
        <color theme="1"/>
        <rFont val="Calibri"/>
        <family val="2"/>
        <scheme val="minor"/>
      </rPr>
      <t xml:space="preserve"> (Income Effect)</t>
    </r>
  </si>
  <si>
    <t>Gamma γ</t>
  </si>
  <si>
    <t>Adjusted Revenue R ($)</t>
  </si>
  <si>
    <t>Adjusted Annual VMT 
(mi/HH/yr)</t>
  </si>
  <si>
    <t>Adjusted Gini Index</t>
  </si>
  <si>
    <t>Current Gini Index</t>
  </si>
  <si>
    <t>Adjusted VMT 
(mi/HH/yr)</t>
  </si>
  <si>
    <t>Adjusted Weekly VMT (mi/HH/wk)</t>
  </si>
  <si>
    <t>Adjusted VMT (mi/HH/yr)</t>
  </si>
  <si>
    <r>
      <t>Q</t>
    </r>
    <r>
      <rPr>
        <b/>
        <sz val="8"/>
        <color theme="1"/>
        <rFont val="Calibri (Body)"/>
      </rPr>
      <t>base</t>
    </r>
    <r>
      <rPr>
        <b/>
        <sz val="11"/>
        <color theme="1"/>
        <rFont val="Calibri"/>
        <family val="2"/>
        <scheme val="minor"/>
      </rPr>
      <t xml:space="preserve"> (mi)</t>
    </r>
  </si>
  <si>
    <t>∆g (mi)</t>
  </si>
  <si>
    <t>Households
 (#)</t>
  </si>
  <si>
    <r>
      <t>FMQ Q</t>
    </r>
    <r>
      <rPr>
        <b/>
        <sz val="8"/>
        <color theme="1"/>
        <rFont val="Calibri (Body)"/>
      </rPr>
      <t>h</t>
    </r>
    <r>
      <rPr>
        <b/>
        <sz val="11"/>
        <color theme="1"/>
        <rFont val="Calibri"/>
        <family val="2"/>
        <scheme val="minor"/>
      </rPr>
      <t xml:space="preserve"> (mi/HH/yr)</t>
    </r>
  </si>
  <si>
    <t>Total Chargeable VMT (mi)</t>
  </si>
  <si>
    <r>
      <t>Fuel Tax Burden T</t>
    </r>
    <r>
      <rPr>
        <b/>
        <sz val="8"/>
        <color theme="1"/>
        <rFont val="Calibri (Body)"/>
      </rPr>
      <t>k</t>
    </r>
    <r>
      <rPr>
        <b/>
        <sz val="11"/>
        <color theme="1"/>
        <rFont val="Calibri"/>
        <family val="2"/>
        <scheme val="minor"/>
      </rPr>
      <t xml:space="preserve"> ($/HH/yr)</t>
    </r>
  </si>
  <si>
    <t xml:space="preserve"> Change in Revenue ∆ ($)</t>
  </si>
  <si>
    <t>Gini Coeffcient</t>
  </si>
  <si>
    <t>FMQ</t>
  </si>
  <si>
    <r>
      <t>Tax Share S</t>
    </r>
    <r>
      <rPr>
        <b/>
        <sz val="8"/>
        <color theme="1"/>
        <rFont val="Calibri (Body)"/>
      </rPr>
      <t>k</t>
    </r>
  </si>
  <si>
    <r>
      <t>Cum Tax Share L</t>
    </r>
    <r>
      <rPr>
        <b/>
        <sz val="8"/>
        <color theme="1"/>
        <rFont val="Calibri (Body)"/>
      </rPr>
      <t>k</t>
    </r>
  </si>
  <si>
    <r>
      <t>N</t>
    </r>
    <r>
      <rPr>
        <b/>
        <sz val="8"/>
        <color theme="1"/>
        <rFont val="Calibri (Body)"/>
      </rPr>
      <t>k</t>
    </r>
    <r>
      <rPr>
        <b/>
        <sz val="11"/>
        <color theme="1"/>
        <rFont val="Calibri"/>
        <family val="2"/>
        <scheme val="minor"/>
      </rPr>
      <t>​* T</t>
    </r>
    <r>
      <rPr>
        <b/>
        <sz val="8"/>
        <color theme="1"/>
        <rFont val="Calibri (Body)"/>
      </rPr>
      <t>k</t>
    </r>
  </si>
  <si>
    <r>
      <t>Cum HH Share P</t>
    </r>
    <r>
      <rPr>
        <b/>
        <sz val="8"/>
        <color theme="1"/>
        <rFont val="Calibri (Body)"/>
      </rPr>
      <t>k</t>
    </r>
  </si>
  <si>
    <r>
      <t>HH Share w</t>
    </r>
    <r>
      <rPr>
        <b/>
        <sz val="8"/>
        <color theme="1"/>
        <rFont val="Calibri (Body)"/>
      </rPr>
      <t>k</t>
    </r>
  </si>
  <si>
    <t>Without Q</t>
  </si>
  <si>
    <t>With Q</t>
  </si>
  <si>
    <t xml:space="preserve">Gini Coefficient </t>
  </si>
  <si>
    <t>Income Group Category</t>
  </si>
  <si>
    <t>Mileage Tax Burden Tˉk ($/HH/yr)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</si>
</sst>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"/>
    <numFmt numFmtId="165" formatCode="0.000%"/>
    <numFmt numFmtId="166" formatCode="0.0000"/>
    <numFmt numFmtId="167" formatCode="0.00000"/>
    <numFmt numFmtId="168" formatCode="0.0%"/>
    <numFmt numFmtId="169" formatCode="_(&quot;$&quot;* #,##0_);_(&quot;$&quot;* \(#,##0\);_(&quot;$&quot;* &quot;-&quot;??_);_(@_)"/>
    <numFmt numFmtId="170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rgb="FFFF0000"/>
      <name val="Times New Roman"/>
      <family val="1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171">
    <xf numFmtId="0" fontId="0" fillId="0" borderId="0" xfId="0"/>
    <xf numFmtId="3" fontId="0" fillId="0" borderId="0" xfId="0" applyNumberFormat="1"/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3" fontId="7" fillId="0" borderId="0" xfId="0" applyNumberFormat="1" applyFont="1"/>
    <xf numFmtId="9" fontId="7" fillId="0" borderId="0" xfId="0" applyNumberFormat="1" applyFont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164" fontId="0" fillId="0" borderId="0" xfId="0" applyNumberFormat="1"/>
    <xf numFmtId="164" fontId="7" fillId="0" borderId="0" xfId="0" applyNumberFormat="1" applyFont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0" fillId="3" borderId="0" xfId="0" applyFill="1"/>
    <xf numFmtId="0" fontId="4" fillId="3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2" fontId="0" fillId="2" borderId="0" xfId="0" applyNumberFormat="1" applyFill="1"/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3" borderId="0" xfId="0" applyFont="1" applyFill="1"/>
    <xf numFmtId="0" fontId="4" fillId="0" borderId="0" xfId="0" applyFont="1" applyAlignment="1">
      <alignment horizontal="center"/>
    </xf>
    <xf numFmtId="0" fontId="10" fillId="6" borderId="0" xfId="0" applyFont="1" applyFill="1"/>
    <xf numFmtId="0" fontId="10" fillId="0" borderId="0" xfId="0" applyFont="1"/>
    <xf numFmtId="0" fontId="10" fillId="3" borderId="0" xfId="0" applyFont="1" applyFill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164" fontId="10" fillId="0" borderId="0" xfId="0" applyNumberFormat="1" applyFont="1"/>
    <xf numFmtId="2" fontId="10" fillId="7" borderId="0" xfId="0" applyNumberFormat="1" applyFont="1" applyFill="1"/>
    <xf numFmtId="0" fontId="11" fillId="0" borderId="0" xfId="0" applyFont="1"/>
    <xf numFmtId="164" fontId="11" fillId="0" borderId="0" xfId="0" applyNumberFormat="1" applyFont="1"/>
    <xf numFmtId="10" fontId="7" fillId="0" borderId="0" xfId="1" applyNumberFormat="1" applyFont="1"/>
    <xf numFmtId="165" fontId="12" fillId="0" borderId="0" xfId="1" applyNumberFormat="1" applyFont="1"/>
    <xf numFmtId="166" fontId="0" fillId="0" borderId="0" xfId="0" applyNumberFormat="1"/>
    <xf numFmtId="167" fontId="7" fillId="0" borderId="0" xfId="0" applyNumberFormat="1" applyFont="1"/>
    <xf numFmtId="164" fontId="0" fillId="0" borderId="1" xfId="0" applyNumberFormat="1" applyBorder="1"/>
    <xf numFmtId="164" fontId="7" fillId="3" borderId="0" xfId="0" applyNumberFormat="1" applyFont="1" applyFill="1"/>
    <xf numFmtId="164" fontId="0" fillId="3" borderId="0" xfId="0" applyNumberFormat="1" applyFill="1"/>
    <xf numFmtId="164" fontId="4" fillId="0" borderId="0" xfId="0" applyNumberFormat="1" applyFont="1"/>
    <xf numFmtId="164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8" fillId="6" borderId="3" xfId="0" applyNumberFormat="1" applyFont="1" applyFill="1" applyBorder="1" applyAlignment="1">
      <alignment horizontal="center" vertical="center" wrapText="1"/>
    </xf>
    <xf numFmtId="164" fontId="10" fillId="0" borderId="5" xfId="0" applyNumberFormat="1" applyFont="1" applyBorder="1"/>
    <xf numFmtId="164" fontId="11" fillId="6" borderId="0" xfId="0" applyNumberFormat="1" applyFont="1" applyFill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164" fontId="7" fillId="8" borderId="16" xfId="0" applyNumberFormat="1" applyFont="1" applyFill="1" applyBorder="1" applyAlignment="1">
      <alignment vertical="center"/>
    </xf>
    <xf numFmtId="2" fontId="7" fillId="8" borderId="16" xfId="0" applyNumberFormat="1" applyFont="1" applyFill="1" applyBorder="1" applyAlignment="1">
      <alignment vertical="center"/>
    </xf>
    <xf numFmtId="164" fontId="0" fillId="8" borderId="6" xfId="0" applyNumberFormat="1" applyFill="1" applyBorder="1" applyAlignment="1">
      <alignment vertical="center"/>
    </xf>
    <xf numFmtId="165" fontId="7" fillId="8" borderId="13" xfId="1" applyNumberFormat="1" applyFont="1" applyFill="1" applyBorder="1" applyAlignment="1">
      <alignment vertical="center"/>
    </xf>
    <xf numFmtId="165" fontId="7" fillId="8" borderId="14" xfId="1" applyNumberFormat="1" applyFont="1" applyFill="1" applyBorder="1" applyAlignment="1">
      <alignment vertical="center"/>
    </xf>
    <xf numFmtId="168" fontId="7" fillId="8" borderId="14" xfId="1" applyNumberFormat="1" applyFont="1" applyFill="1" applyBorder="1" applyAlignment="1">
      <alignment vertical="center"/>
    </xf>
    <xf numFmtId="168" fontId="7" fillId="8" borderId="19" xfId="1" applyNumberFormat="1" applyFont="1" applyFill="1" applyBorder="1" applyAlignment="1">
      <alignment vertical="center"/>
    </xf>
    <xf numFmtId="165" fontId="7" fillId="8" borderId="19" xfId="1" applyNumberFormat="1" applyFont="1" applyFill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7" fillId="8" borderId="6" xfId="0" applyNumberFormat="1" applyFont="1" applyFill="1" applyBorder="1" applyAlignment="1">
      <alignment vertical="center"/>
    </xf>
    <xf numFmtId="164" fontId="0" fillId="0" borderId="20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169" fontId="0" fillId="0" borderId="11" xfId="2" applyNumberFormat="1" applyFont="1" applyBorder="1" applyAlignment="1">
      <alignment vertical="center"/>
    </xf>
    <xf numFmtId="169" fontId="0" fillId="0" borderId="0" xfId="0" applyNumberFormat="1" applyAlignment="1">
      <alignment vertical="center"/>
    </xf>
    <xf numFmtId="166" fontId="0" fillId="0" borderId="21" xfId="0" applyNumberFormat="1" applyBorder="1" applyAlignment="1">
      <alignment vertical="center"/>
    </xf>
    <xf numFmtId="169" fontId="0" fillId="0" borderId="21" xfId="2" applyNumberFormat="1" applyFont="1" applyBorder="1" applyAlignment="1">
      <alignment vertical="center"/>
    </xf>
    <xf numFmtId="167" fontId="0" fillId="0" borderId="23" xfId="0" applyNumberFormat="1" applyBorder="1" applyAlignment="1">
      <alignment vertical="center"/>
    </xf>
    <xf numFmtId="167" fontId="0" fillId="0" borderId="22" xfId="0" applyNumberFormat="1" applyBorder="1" applyAlignment="1">
      <alignment vertical="center"/>
    </xf>
    <xf numFmtId="167" fontId="0" fillId="0" borderId="24" xfId="0" applyNumberFormat="1" applyBorder="1" applyAlignment="1">
      <alignment vertical="center"/>
    </xf>
    <xf numFmtId="167" fontId="0" fillId="0" borderId="25" xfId="0" applyNumberFormat="1" applyBorder="1" applyAlignment="1">
      <alignment vertical="center"/>
    </xf>
    <xf numFmtId="167" fontId="0" fillId="0" borderId="21" xfId="0" applyNumberFormat="1" applyBorder="1" applyAlignment="1">
      <alignment vertical="center"/>
    </xf>
    <xf numFmtId="167" fontId="0" fillId="0" borderId="26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8" borderId="1" xfId="0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vertical="center"/>
    </xf>
    <xf numFmtId="2" fontId="7" fillId="8" borderId="1" xfId="0" applyNumberFormat="1" applyFont="1" applyFill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44" fontId="7" fillId="8" borderId="1" xfId="2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44" fontId="7" fillId="0" borderId="1" xfId="2" applyFont="1" applyBorder="1" applyAlignment="1">
      <alignment vertical="center"/>
    </xf>
    <xf numFmtId="2" fontId="0" fillId="8" borderId="1" xfId="0" applyNumberFormat="1" applyFill="1" applyBorder="1" applyAlignment="1">
      <alignment vertical="center"/>
    </xf>
    <xf numFmtId="164" fontId="7" fillId="0" borderId="1" xfId="2" applyNumberFormat="1" applyFont="1" applyBorder="1" applyAlignment="1">
      <alignment vertical="center"/>
    </xf>
    <xf numFmtId="164" fontId="7" fillId="8" borderId="1" xfId="2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169" fontId="9" fillId="0" borderId="11" xfId="2" applyNumberFormat="1" applyFont="1" applyBorder="1" applyAlignment="1">
      <alignment vertical="center"/>
    </xf>
    <xf numFmtId="169" fontId="9" fillId="0" borderId="21" xfId="2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170" fontId="7" fillId="0" borderId="1" xfId="0" applyNumberFormat="1" applyFont="1" applyBorder="1" applyAlignment="1">
      <alignment vertical="center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7" fontId="7" fillId="0" borderId="27" xfId="0" applyNumberFormat="1" applyFont="1" applyBorder="1" applyAlignment="1">
      <alignment horizontal="center" vertical="center" wrapText="1"/>
    </xf>
    <xf numFmtId="167" fontId="7" fillId="0" borderId="28" xfId="0" applyNumberFormat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0" borderId="12" xfId="0" applyNumberFormat="1" applyFont="1" applyBorder="1" applyAlignment="1">
      <alignment horizontal="center" vertical="center"/>
    </xf>
    <xf numFmtId="167" fontId="7" fillId="0" borderId="18" xfId="0" applyNumberFormat="1" applyFont="1" applyBorder="1" applyAlignment="1">
      <alignment horizontal="center" vertical="center"/>
    </xf>
    <xf numFmtId="167" fontId="7" fillId="0" borderId="1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7" fontId="7" fillId="0" borderId="7" xfId="0" applyNumberFormat="1" applyFont="1" applyBorder="1" applyAlignment="1">
      <alignment horizontal="center" vertical="center"/>
    </xf>
    <xf numFmtId="167" fontId="7" fillId="0" borderId="20" xfId="0" applyNumberFormat="1" applyFont="1" applyBorder="1" applyAlignment="1">
      <alignment horizontal="center" vertical="center" wrapText="1"/>
    </xf>
    <xf numFmtId="167" fontId="7" fillId="0" borderId="18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7" fontId="7" fillId="0" borderId="2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E0C2-F52C-3F4E-A896-EA90421F60DD}">
  <sheetPr>
    <pageSetUpPr fitToPage="1"/>
  </sheetPr>
  <dimension ref="B1:O56"/>
  <sheetViews>
    <sheetView zoomScale="150" workbookViewId="0">
      <selection activeCell="K5" sqref="K5"/>
    </sheetView>
  </sheetViews>
  <sheetFormatPr baseColWidth="10" defaultRowHeight="15" x14ac:dyDescent="0.2"/>
  <cols>
    <col min="1" max="1" width="10.83203125" style="62"/>
    <col min="2" max="15" width="10.83203125" style="62" customWidth="1"/>
    <col min="16" max="16384" width="10.83203125" style="62"/>
  </cols>
  <sheetData>
    <row r="1" spans="2:15" ht="33" customHeight="1" thickBot="1" x14ac:dyDescent="0.25"/>
    <row r="2" spans="2:15" ht="16" thickBot="1" x14ac:dyDescent="0.25">
      <c r="E2" s="118"/>
      <c r="F2" s="127" t="s">
        <v>183</v>
      </c>
      <c r="G2" s="128"/>
      <c r="H2" s="124" t="s">
        <v>182</v>
      </c>
      <c r="I2" s="125"/>
      <c r="J2" s="126"/>
    </row>
    <row r="3" spans="2:15" ht="33" thickBot="1" x14ac:dyDescent="0.25">
      <c r="E3" s="65"/>
      <c r="F3" s="74" t="s">
        <v>156</v>
      </c>
      <c r="G3" s="71" t="s">
        <v>164</v>
      </c>
      <c r="H3" s="68" t="s">
        <v>121</v>
      </c>
      <c r="I3" s="75" t="s">
        <v>122</v>
      </c>
      <c r="J3" s="69" t="s">
        <v>134</v>
      </c>
    </row>
    <row r="4" spans="2:15" ht="16" thickBot="1" x14ac:dyDescent="0.25">
      <c r="E4" s="66" t="s">
        <v>189</v>
      </c>
      <c r="F4" s="89">
        <f>'Translog Model (NEW)'!D1</f>
        <v>1.9544889999999999E-2</v>
      </c>
      <c r="G4" s="116">
        <f>ROUNDUP('Translog Model (NEW)'!H1,-3)</f>
        <v>1624000</v>
      </c>
      <c r="H4" s="94">
        <f>'Translog Model (NEW)'!P1</f>
        <v>0.72433365137756445</v>
      </c>
      <c r="I4" s="95">
        <f>'Translog Model (NEW)'!P2</f>
        <v>0.72589611768027518</v>
      </c>
      <c r="J4" s="96">
        <f>'Translog Model (NEW)'!P3</f>
        <v>0.72465213025903807</v>
      </c>
    </row>
    <row r="5" spans="2:15" ht="16" thickBot="1" x14ac:dyDescent="0.25">
      <c r="E5" s="70" t="s">
        <v>190</v>
      </c>
      <c r="F5" s="92">
        <f>'Translog Model (NEW)'!D2</f>
        <v>2.35E-2</v>
      </c>
      <c r="G5" s="117">
        <f>ROUNDUP('Translog Model (NEW)'!H2,-3)</f>
        <v>1646000</v>
      </c>
      <c r="H5" s="97">
        <f>'Translog Model (NEW)'!N1</f>
        <v>0.71862867339136405</v>
      </c>
      <c r="I5" s="98">
        <f>'Translog Model (NEW)'!N2</f>
        <v>0.72217444904283323</v>
      </c>
      <c r="J5" s="99">
        <f>'Translog Model (NEW)'!N3</f>
        <v>0.71907051341777528</v>
      </c>
    </row>
    <row r="6" spans="2:15" ht="16" thickBot="1" x14ac:dyDescent="0.25">
      <c r="E6" s="67" t="s">
        <v>157</v>
      </c>
      <c r="F6" s="84">
        <f>(F5-F4)/F4</f>
        <v>0.20236031003500154</v>
      </c>
      <c r="G6" s="83">
        <f>(G5-G4)/G4</f>
        <v>1.3546798029556651E-2</v>
      </c>
      <c r="H6" s="81">
        <f>(H5-H4)/H4</f>
        <v>-7.8761741572415719E-3</v>
      </c>
      <c r="I6" s="85">
        <f t="shared" ref="I6:J6" si="0">(I5-I4)/I4</f>
        <v>-5.1269989559045593E-3</v>
      </c>
      <c r="J6" s="82">
        <f t="shared" si="0"/>
        <v>-7.7024776554062684E-3</v>
      </c>
    </row>
    <row r="7" spans="2:15" x14ac:dyDescent="0.2">
      <c r="G7" s="61"/>
      <c r="J7" s="61"/>
    </row>
    <row r="8" spans="2:15" ht="16" customHeight="1" x14ac:dyDescent="0.2">
      <c r="B8" s="130"/>
      <c r="C8" s="129" t="s">
        <v>192</v>
      </c>
      <c r="D8" s="129" t="s">
        <v>177</v>
      </c>
      <c r="E8" s="129" t="s">
        <v>169</v>
      </c>
      <c r="F8" s="129" t="s">
        <v>167</v>
      </c>
      <c r="G8" s="123" t="s">
        <v>178</v>
      </c>
      <c r="H8" s="123"/>
      <c r="I8" s="129" t="s">
        <v>179</v>
      </c>
      <c r="J8" s="129" t="s">
        <v>168</v>
      </c>
      <c r="K8" s="129" t="s">
        <v>85</v>
      </c>
      <c r="L8" s="129" t="s">
        <v>181</v>
      </c>
      <c r="M8" s="129" t="s">
        <v>180</v>
      </c>
      <c r="N8" s="129" t="s">
        <v>170</v>
      </c>
      <c r="O8" s="129" t="s">
        <v>171</v>
      </c>
    </row>
    <row r="9" spans="2:15" ht="45" customHeight="1" x14ac:dyDescent="0.2">
      <c r="B9" s="130"/>
      <c r="C9" s="129"/>
      <c r="D9" s="129"/>
      <c r="E9" s="129"/>
      <c r="F9" s="129"/>
      <c r="G9" s="17" t="s">
        <v>175</v>
      </c>
      <c r="H9" s="17" t="s">
        <v>176</v>
      </c>
      <c r="I9" s="129"/>
      <c r="J9" s="129"/>
      <c r="K9" s="129"/>
      <c r="L9" s="129"/>
      <c r="M9" s="129"/>
      <c r="N9" s="129"/>
      <c r="O9" s="129"/>
    </row>
    <row r="10" spans="2:15" x14ac:dyDescent="0.2">
      <c r="B10" s="123" t="s">
        <v>121</v>
      </c>
      <c r="C10" s="114" t="s">
        <v>140</v>
      </c>
      <c r="D10" s="100">
        <f>'Translog Model (NEW)'!B7</f>
        <v>3001</v>
      </c>
      <c r="E10" s="109">
        <f>'Translog Model (NEW)'!F7</f>
        <v>8230.5911584000005</v>
      </c>
      <c r="F10" s="102">
        <f>'Translog Model (NEW)'!K7</f>
        <v>0</v>
      </c>
      <c r="G10" s="109">
        <f>'Translog Model (NEW)'!J7</f>
        <v>0</v>
      </c>
      <c r="H10" s="132">
        <f>'X-Old Income Group'!Q7</f>
        <v>0</v>
      </c>
      <c r="I10" s="109">
        <f>'Translog Model (NEW)'!L7</f>
        <v>24700004.066358402</v>
      </c>
      <c r="J10" s="112">
        <f>'Translog Model (NEW)'!M7</f>
        <v>580450.09555942251</v>
      </c>
      <c r="K10" s="112">
        <f>'Translog Model (NEW)'!N7</f>
        <v>489644.55770420568</v>
      </c>
      <c r="L10" s="112">
        <f>'Translog Model (NEW)'!O7</f>
        <v>90805.537855216826</v>
      </c>
      <c r="M10" s="110">
        <f>'Translog Model (NEW)'!V7</f>
        <v>164.6118232</v>
      </c>
      <c r="N10" s="131">
        <f>'Translog Model (NEW)'!AC7</f>
        <v>0.71862867339136405</v>
      </c>
      <c r="O10" s="133">
        <f>'Translog Model (NEW)'!AM7</f>
        <v>0.72433365137756445</v>
      </c>
    </row>
    <row r="11" spans="2:15" x14ac:dyDescent="0.2">
      <c r="B11" s="123"/>
      <c r="C11" s="114" t="s">
        <v>141</v>
      </c>
      <c r="D11" s="100">
        <f>'Translog Model (NEW)'!B8</f>
        <v>5053</v>
      </c>
      <c r="E11" s="109">
        <f>'Translog Model (NEW)'!F8</f>
        <v>5421.5541275999994</v>
      </c>
      <c r="F11" s="102">
        <f>'Translog Model (NEW)'!K8</f>
        <v>0.1</v>
      </c>
      <c r="G11" s="109">
        <f>'Translog Model (NEW)'!J8</f>
        <v>542.15541275999999</v>
      </c>
      <c r="H11" s="132"/>
      <c r="I11" s="109">
        <f>'Translog Model (NEW)'!L8</f>
        <v>24655601.706086516</v>
      </c>
      <c r="J11" s="112">
        <f>'Translog Model (NEW)'!M8</f>
        <v>579406.64009303309</v>
      </c>
      <c r="K11" s="112">
        <f>'Translog Model (NEW)'!N8</f>
        <v>541862.32266208285</v>
      </c>
      <c r="L11" s="112">
        <f>'Translog Model (NEW)'!O8</f>
        <v>37544.317430950236</v>
      </c>
      <c r="M11" s="110">
        <f>'Translog Model (NEW)'!V8</f>
        <v>95.690430300140008</v>
      </c>
      <c r="N11" s="131"/>
      <c r="O11" s="133"/>
    </row>
    <row r="12" spans="2:15" x14ac:dyDescent="0.2">
      <c r="B12" s="123"/>
      <c r="C12" s="114" t="s">
        <v>143</v>
      </c>
      <c r="D12" s="100">
        <f>'Translog Model (NEW)'!B9</f>
        <v>3458</v>
      </c>
      <c r="E12" s="109">
        <f>'Translog Model (NEW)'!F9</f>
        <v>3807.8249466399998</v>
      </c>
      <c r="F12" s="102">
        <f>'Translog Model (NEW)'!K9</f>
        <v>0.25</v>
      </c>
      <c r="G12" s="109">
        <f>'Translog Model (NEW)'!J9</f>
        <v>951.95623665999995</v>
      </c>
      <c r="H12" s="132"/>
      <c r="I12" s="109">
        <f>'Translog Model (NEW)'!L9</f>
        <v>9875593.9991108403</v>
      </c>
      <c r="J12" s="112">
        <f>'Translog Model (NEW)'!M9</f>
        <v>232076.45897910473</v>
      </c>
      <c r="K12" s="112">
        <f>'Translog Model (NEW)'!N9</f>
        <v>259811.17393426783</v>
      </c>
      <c r="L12" s="112">
        <f>'Translog Model (NEW)'!O9</f>
        <v>-27734.714955163101</v>
      </c>
      <c r="M12" s="110">
        <f>'Translog Model (NEW)'!V9</f>
        <v>53.785527378490002</v>
      </c>
      <c r="N12" s="131"/>
      <c r="O12" s="133"/>
    </row>
    <row r="13" spans="2:15" x14ac:dyDescent="0.2">
      <c r="B13" s="123"/>
      <c r="C13" s="114" t="s">
        <v>142</v>
      </c>
      <c r="D13" s="100">
        <f>'Translog Model (NEW)'!B10</f>
        <v>2090</v>
      </c>
      <c r="E13" s="109">
        <f>'Translog Model (NEW)'!F10</f>
        <v>3868.5466019199998</v>
      </c>
      <c r="F13" s="102">
        <f>'Translog Model (NEW)'!K10</f>
        <v>0.5</v>
      </c>
      <c r="G13" s="109">
        <f>'Translog Model (NEW)'!J10</f>
        <v>1934.2733009599999</v>
      </c>
      <c r="H13" s="132"/>
      <c r="I13" s="109">
        <f>'Translog Model (NEW)'!L10</f>
        <v>4042631.1990063996</v>
      </c>
      <c r="J13" s="112">
        <f>'Translog Model (NEW)'!M10</f>
        <v>95001.833176650398</v>
      </c>
      <c r="K13" s="112">
        <f>'Translog Model (NEW)'!N10</f>
        <v>159035.10789744343</v>
      </c>
      <c r="L13" s="112">
        <f>'Translog Model (NEW)'!O10</f>
        <v>-64033.274720793037</v>
      </c>
      <c r="M13" s="110">
        <f>'Translog Model (NEW)'!V10</f>
        <v>31.915509467440003</v>
      </c>
      <c r="N13" s="131"/>
      <c r="O13" s="133"/>
    </row>
    <row r="14" spans="2:15" x14ac:dyDescent="0.2">
      <c r="B14" s="123"/>
      <c r="C14" s="115" t="s">
        <v>134</v>
      </c>
      <c r="D14" s="104">
        <f>'X-Old Income Group'!B13</f>
        <v>13602</v>
      </c>
      <c r="E14" s="105">
        <f>'X-Old Income Group'!F13</f>
        <v>21376.82105988</v>
      </c>
      <c r="F14" s="111"/>
      <c r="G14" s="105">
        <f>'X-Old Income Group'!J13</f>
        <v>2305.4578827539999</v>
      </c>
      <c r="H14" s="104"/>
      <c r="I14" s="105">
        <f>'X-Old Income Group'!L13</f>
        <v>65914101.17954199</v>
      </c>
      <c r="J14" s="113">
        <f>'X-Old Income Group'!M13</f>
        <v>1483067.2765396948</v>
      </c>
      <c r="K14" s="113">
        <f>'X-Old Income Group'!N13</f>
        <v>1436564.9889322126</v>
      </c>
      <c r="L14" s="113">
        <f>'X-Old Income Group'!O13</f>
        <v>46502.287607482169</v>
      </c>
      <c r="M14" s="108"/>
      <c r="N14" s="131"/>
      <c r="O14" s="133"/>
    </row>
    <row r="15" spans="2:15" x14ac:dyDescent="0.2">
      <c r="B15" s="123" t="s">
        <v>122</v>
      </c>
      <c r="C15" s="114" t="s">
        <v>140</v>
      </c>
      <c r="D15" s="100">
        <f>'Translog Model (NEW)'!B17</f>
        <v>286</v>
      </c>
      <c r="E15" s="109">
        <f>'Translog Model (NEW)'!F17</f>
        <v>9281.6199788000013</v>
      </c>
      <c r="F15" s="102">
        <f>'Translog Model (NEW)'!K17</f>
        <v>0</v>
      </c>
      <c r="G15" s="109">
        <f>'Translog Model (NEW)'!J17</f>
        <v>0</v>
      </c>
      <c r="H15" s="134">
        <f>'X-Old Income Group'!Q17</f>
        <v>1000</v>
      </c>
      <c r="I15" s="109">
        <f>'Translog Model (NEW)'!L17</f>
        <v>2368543.3139368002</v>
      </c>
      <c r="J15" s="112">
        <f>'Translog Model (NEW)'!M17</f>
        <v>55660.767877514809</v>
      </c>
      <c r="K15" s="112">
        <f>'Translog Model (NEW)'!N17</f>
        <v>52157.239749288143</v>
      </c>
      <c r="L15" s="112">
        <f>'Translog Model (NEW)'!O17</f>
        <v>3503.528128226666</v>
      </c>
      <c r="M15" s="110">
        <f>'Translog Model (NEW)'!V17</f>
        <v>162.13239949999999</v>
      </c>
      <c r="N15" s="131">
        <f>'Translog Model (NEW)'!N2</f>
        <v>0.72217444904283323</v>
      </c>
      <c r="O15" s="131">
        <f>'Translog Model (NEW)'!P2</f>
        <v>0.72589611768027518</v>
      </c>
    </row>
    <row r="16" spans="2:15" x14ac:dyDescent="0.2">
      <c r="B16" s="123"/>
      <c r="C16" s="114" t="s">
        <v>141</v>
      </c>
      <c r="D16" s="100">
        <f>'Translog Model (NEW)'!B18</f>
        <v>551</v>
      </c>
      <c r="E16" s="109">
        <f>'Translog Model (NEW)'!F18</f>
        <v>6802.3383220000005</v>
      </c>
      <c r="F16" s="102">
        <f>'Translog Model (NEW)'!K18</f>
        <v>0.1</v>
      </c>
      <c r="G16" s="109">
        <f>'Translog Model (NEW)'!J18</f>
        <v>680.23383220000005</v>
      </c>
      <c r="H16" s="134"/>
      <c r="I16" s="109">
        <f>'X-Old Income Group'!L18</f>
        <v>2833454.8483907199</v>
      </c>
      <c r="J16" s="112">
        <f>'X-Old Income Group'!M18</f>
        <v>63752.734088791192</v>
      </c>
      <c r="K16" s="112">
        <f>'X-Old Income Group'!N18</f>
        <v>73513.282716207526</v>
      </c>
      <c r="L16" s="112">
        <f>'X-Old Income Group'!O18</f>
        <v>-9760.5486274163341</v>
      </c>
      <c r="M16" s="110">
        <f>'X-Old Income Group'!V18</f>
        <v>135.814842</v>
      </c>
      <c r="N16" s="131"/>
      <c r="O16" s="131"/>
    </row>
    <row r="17" spans="2:15" x14ac:dyDescent="0.2">
      <c r="B17" s="123"/>
      <c r="C17" s="114" t="s">
        <v>143</v>
      </c>
      <c r="D17" s="100">
        <f>'Translog Model (NEW)'!B19</f>
        <v>409</v>
      </c>
      <c r="E17" s="109">
        <f>'Translog Model (NEW)'!F19</f>
        <v>5642.2646435999995</v>
      </c>
      <c r="F17" s="102">
        <f>'Translog Model (NEW)'!K19</f>
        <v>0.25</v>
      </c>
      <c r="G17" s="109">
        <f>'Translog Model (NEW)'!J19</f>
        <v>1410.5661608999999</v>
      </c>
      <c r="H17" s="134"/>
      <c r="I17" s="109">
        <f>'X-Old Income Group'!L19</f>
        <v>1559042.0814618201</v>
      </c>
      <c r="J17" s="112">
        <f>'X-Old Income Group'!M19</f>
        <v>35078.44683289095</v>
      </c>
      <c r="K17" s="112">
        <f>'X-Old Income Group'!N19</f>
        <v>45170.372399405765</v>
      </c>
      <c r="L17" s="112">
        <f>'X-Old Income Group'!O19</f>
        <v>-10091.925566514816</v>
      </c>
      <c r="M17" s="110">
        <f>'X-Old Income Group'!V19</f>
        <v>118.43664800000001</v>
      </c>
      <c r="N17" s="131"/>
      <c r="O17" s="131"/>
    </row>
    <row r="18" spans="2:15" x14ac:dyDescent="0.2">
      <c r="B18" s="123"/>
      <c r="C18" s="114" t="s">
        <v>142</v>
      </c>
      <c r="D18" s="100">
        <f>'Translog Model (NEW)'!B20</f>
        <v>273</v>
      </c>
      <c r="E18" s="109">
        <f>'Translog Model (NEW)'!F20</f>
        <v>3612.1154809999998</v>
      </c>
      <c r="F18" s="102">
        <f>'Translog Model (NEW)'!K20</f>
        <v>0.5</v>
      </c>
      <c r="G18" s="109">
        <f>'Translog Model (NEW)'!J20</f>
        <v>1806.0577404999999</v>
      </c>
      <c r="H18" s="134"/>
      <c r="I18" s="109">
        <f>'X-Old Income Group'!L20</f>
        <v>520444.34302223992</v>
      </c>
      <c r="J18" s="112">
        <f>'X-Old Income Group'!M20</f>
        <v>11709.997718000397</v>
      </c>
      <c r="K18" s="112">
        <f>'X-Old Income Group'!N20</f>
        <v>19290.141576871258</v>
      </c>
      <c r="L18" s="112">
        <f>'X-Old Income Group'!O20</f>
        <v>-7580.1438588708606</v>
      </c>
      <c r="M18" s="110">
        <f>'X-Old Income Group'!V20</f>
        <v>81.562025399999996</v>
      </c>
      <c r="N18" s="131"/>
      <c r="O18" s="131"/>
    </row>
    <row r="19" spans="2:15" x14ac:dyDescent="0.2">
      <c r="B19" s="123"/>
      <c r="C19" s="115" t="s">
        <v>134</v>
      </c>
      <c r="D19" s="104">
        <f>'X-Old Income Group'!B23</f>
        <v>1519</v>
      </c>
      <c r="E19" s="105">
        <f>'X-Old Income Group'!F23</f>
        <v>25431.561248599999</v>
      </c>
      <c r="F19" s="111"/>
      <c r="G19" s="105">
        <f>'X-Old Income Group'!J23</f>
        <v>2723.8684691399999</v>
      </c>
      <c r="H19" s="104"/>
      <c r="I19" s="105">
        <f>'X-Old Income Group'!L23</f>
        <v>7157205.6151604597</v>
      </c>
      <c r="J19" s="113">
        <f>'X-Old Income Group'!M23</f>
        <v>161037.12634111033</v>
      </c>
      <c r="K19" s="113">
        <f>'X-Old Income Group'!N23</f>
        <v>190193.09517921845</v>
      </c>
      <c r="L19" s="113">
        <f>'X-Old Income Group'!O23</f>
        <v>-29155.968838108121</v>
      </c>
      <c r="M19" s="108"/>
      <c r="N19" s="131"/>
      <c r="O19" s="131"/>
    </row>
    <row r="20" spans="2:15" x14ac:dyDescent="0.2">
      <c r="B20" s="123" t="s">
        <v>134</v>
      </c>
      <c r="C20" s="114" t="s">
        <v>140</v>
      </c>
      <c r="D20" s="100">
        <f>'Translog Model (NEW)'!B27</f>
        <v>3287</v>
      </c>
      <c r="E20" s="109">
        <f>'Translog Model (NEW)'!F27</f>
        <v>8322.0405781244917</v>
      </c>
      <c r="F20" s="102">
        <f>'Translog Model (NEW)'!K27</f>
        <v>0</v>
      </c>
      <c r="G20" s="109">
        <f>'Translog Model (NEW)'!J27</f>
        <v>0</v>
      </c>
      <c r="H20" s="130" t="s">
        <v>158</v>
      </c>
      <c r="I20" s="109">
        <f>'Translog Model (NEW)'!L27</f>
        <v>27068547.380295206</v>
      </c>
      <c r="J20" s="112">
        <f>'Translog Model (NEW)'!M27</f>
        <v>636110.86343693733</v>
      </c>
      <c r="K20" s="112">
        <f>'Translog Model (NEW)'!N27</f>
        <v>541801.79745349369</v>
      </c>
      <c r="L20" s="112">
        <f>'Translog Model (NEW)'!O27</f>
        <v>94309.065983443637</v>
      </c>
      <c r="M20" s="110">
        <f>'X-Old Income Group'!V27</f>
        <v>116.06740105567388</v>
      </c>
      <c r="N20" s="131">
        <f>'Translog Model (NEW)'!N3</f>
        <v>0.71907051341777528</v>
      </c>
      <c r="O20" s="131">
        <f>'Translog Model (NEW)'!P3</f>
        <v>0.72465213025903807</v>
      </c>
    </row>
    <row r="21" spans="2:15" x14ac:dyDescent="0.2">
      <c r="B21" s="123"/>
      <c r="C21" s="114" t="s">
        <v>141</v>
      </c>
      <c r="D21" s="100">
        <f>'Translog Model (NEW)'!B28</f>
        <v>5604</v>
      </c>
      <c r="E21" s="109">
        <f>'Translog Model (NEW)'!F28</f>
        <v>5557.3164564926474</v>
      </c>
      <c r="F21" s="102">
        <f>'Translog Model (NEW)'!K28</f>
        <v>0.1</v>
      </c>
      <c r="G21" s="109">
        <f>'Translog Model (NEW)'!J28</f>
        <v>555.73164564926481</v>
      </c>
      <c r="H21" s="130"/>
      <c r="I21" s="109">
        <f>'Translog Model (NEW)'!L28</f>
        <v>27477881.279966317</v>
      </c>
      <c r="J21" s="112">
        <f>'Translog Model (NEW)'!M28</f>
        <v>645730.21007920837</v>
      </c>
      <c r="K21" s="112">
        <f>'Translog Model (NEW)'!N28</f>
        <v>615375.60537829041</v>
      </c>
      <c r="L21" s="112">
        <f>'Translog Model (NEW)'!O28</f>
        <v>30354.60470091796</v>
      </c>
      <c r="M21" s="110">
        <f>'X-Old Income Group'!V28</f>
        <v>86.367924598001437</v>
      </c>
      <c r="N21" s="131"/>
      <c r="O21" s="131"/>
    </row>
    <row r="22" spans="2:15" x14ac:dyDescent="0.2">
      <c r="B22" s="123"/>
      <c r="C22" s="114" t="s">
        <v>143</v>
      </c>
      <c r="D22" s="100">
        <f>'Translog Model (NEW)'!B29</f>
        <v>3867</v>
      </c>
      <c r="E22" s="109">
        <f>'Translog Model (NEW)'!F29</f>
        <v>4001.8476609034183</v>
      </c>
      <c r="F22" s="102">
        <f>'Translog Model (NEW)'!K29</f>
        <v>0.25</v>
      </c>
      <c r="G22" s="109">
        <f>'Translog Model (NEW)'!J29</f>
        <v>1000.4619152258546</v>
      </c>
      <c r="H22" s="130"/>
      <c r="I22" s="109">
        <f>'Translog Model (NEW)'!L29</f>
        <v>11197358.678535139</v>
      </c>
      <c r="J22" s="112">
        <f>'Translog Model (NEW)'!M29</f>
        <v>263137.92894557578</v>
      </c>
      <c r="K22" s="112">
        <f>'Translog Model (NEW)'!N29</f>
        <v>304981.54633367364</v>
      </c>
      <c r="L22" s="112">
        <f>'Translog Model (NEW)'!O29</f>
        <v>-41843.61738809786</v>
      </c>
      <c r="M22" s="110">
        <f>'X-Old Income Group'!V29</f>
        <v>69.723741281561928</v>
      </c>
      <c r="N22" s="131"/>
      <c r="O22" s="131"/>
    </row>
    <row r="23" spans="2:15" x14ac:dyDescent="0.2">
      <c r="B23" s="123"/>
      <c r="C23" s="114" t="s">
        <v>142</v>
      </c>
      <c r="D23" s="100">
        <f>'Translog Model (NEW)'!B30</f>
        <v>2363</v>
      </c>
      <c r="E23" s="109">
        <f>'Translog Model (NEW)'!F30</f>
        <v>3838.9208312847227</v>
      </c>
      <c r="F23" s="102">
        <f>'Translog Model (NEW)'!K30</f>
        <v>0.5</v>
      </c>
      <c r="G23" s="109">
        <f>'Translog Model (NEW)'!J30</f>
        <v>1919.4604156423613</v>
      </c>
      <c r="H23" s="130"/>
      <c r="I23" s="109">
        <f>'Translog Model (NEW)'!L30</f>
        <v>4262684.9621628998</v>
      </c>
      <c r="J23" s="112">
        <f>'Translog Model (NEW)'!M30</f>
        <v>100173.09661082814</v>
      </c>
      <c r="K23" s="112">
        <f>'Translog Model (NEW)'!N30</f>
        <v>178325.24947431468</v>
      </c>
      <c r="L23" s="112">
        <f>'Translog Model (NEW)'!O30</f>
        <v>-78152.152863486539</v>
      </c>
      <c r="M23" s="110">
        <f>'X-Old Income Group'!V30</f>
        <v>75.633103759289057</v>
      </c>
      <c r="N23" s="131"/>
      <c r="O23" s="131"/>
    </row>
    <row r="24" spans="2:15" x14ac:dyDescent="0.2">
      <c r="B24" s="123"/>
      <c r="C24" s="115" t="s">
        <v>134</v>
      </c>
      <c r="D24" s="104">
        <f>'X-Old Income Group'!B33</f>
        <v>15121</v>
      </c>
      <c r="E24" s="105">
        <f>'X-Old Income Group'!F33</f>
        <v>21772.67401440562</v>
      </c>
      <c r="F24" s="104"/>
      <c r="G24" s="105">
        <f>'X-Old Income Group'!J23</f>
        <v>2723.8684691399999</v>
      </c>
      <c r="H24" s="104"/>
      <c r="I24" s="105">
        <f>'X-Old Income Group'!L33</f>
        <v>74590306.794702455</v>
      </c>
      <c r="J24" s="113">
        <f>'X-Old Income Group'!M33</f>
        <v>1678281.9028808051</v>
      </c>
      <c r="K24" s="113">
        <f>'X-Old Income Group'!N33</f>
        <v>1626758.0841114307</v>
      </c>
      <c r="L24" s="113">
        <f>'X-Old Income Group'!O33</f>
        <v>51523.818769374397</v>
      </c>
      <c r="M24" s="108"/>
      <c r="N24" s="131"/>
      <c r="O24" s="131"/>
    </row>
    <row r="26" spans="2:15" ht="48" x14ac:dyDescent="0.2">
      <c r="C26" s="100"/>
      <c r="D26" s="100"/>
      <c r="E26" s="17" t="s">
        <v>180</v>
      </c>
      <c r="F26" s="17" t="s">
        <v>186</v>
      </c>
      <c r="G26" s="17" t="s">
        <v>184</v>
      </c>
      <c r="H26" s="17" t="s">
        <v>185</v>
      </c>
      <c r="I26" s="17" t="s">
        <v>188</v>
      </c>
      <c r="J26" s="17" t="s">
        <v>187</v>
      </c>
      <c r="K26" s="100"/>
      <c r="L26" s="17" t="s">
        <v>191</v>
      </c>
    </row>
    <row r="27" spans="2:15" x14ac:dyDescent="0.2">
      <c r="C27" s="123" t="s">
        <v>189</v>
      </c>
      <c r="D27" s="123" t="s">
        <v>121</v>
      </c>
      <c r="E27" s="119">
        <f>'Translog Model (NEW)'!V7</f>
        <v>164.6118232</v>
      </c>
      <c r="F27" s="109">
        <f>'Translog Model (NEW)'!W7</f>
        <v>494000.08142320003</v>
      </c>
      <c r="G27" s="119">
        <f>'Translog Model (NEW)'!X7</f>
        <v>0.40155504502260592</v>
      </c>
      <c r="H27" s="119">
        <f>'Translog Model (NEW)'!Y7</f>
        <v>0.40155504502260592</v>
      </c>
      <c r="I27" s="119">
        <f>'Translog Model (NEW)'!Z7</f>
        <v>0.2206293192177621</v>
      </c>
      <c r="J27" s="119">
        <f>'Translog Model (NEW)'!AA7</f>
        <v>0.2206293192177621</v>
      </c>
      <c r="K27" s="119">
        <f>'Translog Model (NEW)'!AB7</f>
        <v>8.8594816211795352E-2</v>
      </c>
      <c r="L27" s="120">
        <f>'Translog Model (NEW)'!AC7</f>
        <v>0.71862867339136405</v>
      </c>
    </row>
    <row r="28" spans="2:15" x14ac:dyDescent="0.2">
      <c r="C28" s="123"/>
      <c r="D28" s="123"/>
      <c r="E28" s="119">
        <f>'Translog Model (NEW)'!V8</f>
        <v>95.690430300140008</v>
      </c>
      <c r="F28" s="109">
        <f>'Translog Model (NEW)'!W8</f>
        <v>483523.74430660746</v>
      </c>
      <c r="G28" s="119">
        <f>'Translog Model (NEW)'!X8</f>
        <v>0.39303920427536237</v>
      </c>
      <c r="H28" s="119">
        <f>'Translog Model (NEW)'!Y8</f>
        <v>0.79459424929796829</v>
      </c>
      <c r="I28" s="119">
        <f>'Translog Model (NEW)'!Z8</f>
        <v>0.37148948684017058</v>
      </c>
      <c r="J28" s="119">
        <f>'Translog Model (NEW)'!AA8</f>
        <v>0.59211880605793266</v>
      </c>
      <c r="K28" s="119">
        <f>'Translog Model (NEW)'!AB8</f>
        <v>0.14600993230432335</v>
      </c>
      <c r="L28" s="121"/>
    </row>
    <row r="29" spans="2:15" x14ac:dyDescent="0.2">
      <c r="C29" s="123"/>
      <c r="D29" s="123"/>
      <c r="E29" s="119">
        <f>'Translog Model (NEW)'!V9</f>
        <v>53.785527378490002</v>
      </c>
      <c r="F29" s="109">
        <f>'Translog Model (NEW)'!W9</f>
        <v>185990.35367481844</v>
      </c>
      <c r="G29" s="119">
        <f>'Translog Model (NEW)'!X9</f>
        <v>0.1511849241572911</v>
      </c>
      <c r="H29" s="119">
        <f>'Translog Model (NEW)'!Y9</f>
        <v>0.94577917345525941</v>
      </c>
      <c r="I29" s="119">
        <f>'Translog Model (NEW)'!Z9</f>
        <v>0.25422731951183647</v>
      </c>
      <c r="J29" s="119">
        <f>'Translog Model (NEW)'!AA9</f>
        <v>0.84634612556976907</v>
      </c>
      <c r="K29" s="119">
        <f>'Translog Model (NEW)'!AB9</f>
        <v>3.8435338019108409E-2</v>
      </c>
      <c r="L29" s="121"/>
    </row>
    <row r="30" spans="2:15" x14ac:dyDescent="0.2">
      <c r="C30" s="123"/>
      <c r="D30" s="123"/>
      <c r="E30" s="119">
        <f>'Translog Model (NEW)'!V10</f>
        <v>31.915509467440003</v>
      </c>
      <c r="F30" s="109">
        <f>'Translog Model (NEW)'!W10</f>
        <v>66703.414786949608</v>
      </c>
      <c r="G30" s="119">
        <f>'Translog Model (NEW)'!X10</f>
        <v>5.4220826544740697E-2</v>
      </c>
      <c r="H30" s="119">
        <f>'Translog Model (NEW)'!Y10</f>
        <v>1</v>
      </c>
      <c r="I30" s="119">
        <f>'Translog Model (NEW)'!Z10</f>
        <v>0.15365387443023085</v>
      </c>
      <c r="J30" s="119">
        <f>'Translog Model (NEW)'!AA10</f>
        <v>0.99999999999999989</v>
      </c>
      <c r="K30" s="119">
        <f>'Translog Model (NEW)'!AB10</f>
        <v>8.3312400734088955E-3</v>
      </c>
      <c r="L30" s="122"/>
    </row>
    <row r="31" spans="2:15" x14ac:dyDescent="0.2">
      <c r="C31" s="123"/>
      <c r="D31" s="123" t="s">
        <v>122</v>
      </c>
      <c r="E31" s="119">
        <f>'Translog Model (NEW)'!V17</f>
        <v>162.13239949999999</v>
      </c>
      <c r="F31" s="109">
        <f>'Translog Model (NEW)'!W17</f>
        <v>46369.866256999994</v>
      </c>
      <c r="G31" s="119">
        <f>'Translog Model (NEW)'!X17</f>
        <v>0.3731092872283388</v>
      </c>
      <c r="H31" s="119">
        <f>'Translog Model (NEW)'!Y17</f>
        <v>0.3731092872283388</v>
      </c>
      <c r="I31" s="119">
        <f>'Translog Model (NEW)'!Z17</f>
        <v>0.18828176431863067</v>
      </c>
      <c r="J31" s="119">
        <f>'Translog Model (NEW)'!AA17</f>
        <v>0.18828176431863067</v>
      </c>
      <c r="K31" s="119">
        <f>'Translog Model (NEW)'!AB17</f>
        <v>7.0249674883018365E-2</v>
      </c>
      <c r="L31" s="120">
        <f>'Translog Model (NEW)'!AC17</f>
        <v>0.72217444904283323</v>
      </c>
    </row>
    <row r="32" spans="2:15" x14ac:dyDescent="0.2">
      <c r="C32" s="123"/>
      <c r="D32" s="123"/>
      <c r="E32" s="119">
        <f>'Translog Model (NEW)'!V18</f>
        <v>96.561271343299993</v>
      </c>
      <c r="F32" s="109">
        <f>'Translog Model (NEW)'!W18</f>
        <v>53205.260510158296</v>
      </c>
      <c r="G32" s="119">
        <f>'Translog Model (NEW)'!X18</f>
        <v>0.42810942597330615</v>
      </c>
      <c r="H32" s="119">
        <f>'Translog Model (NEW)'!Y18</f>
        <v>0.80121871320164495</v>
      </c>
      <c r="I32" s="119">
        <f>'Translog Model (NEW)'!Z18</f>
        <v>0.36273864384463461</v>
      </c>
      <c r="J32" s="119">
        <f>'Translog Model (NEW)'!AA18</f>
        <v>0.55102040816326525</v>
      </c>
      <c r="K32" s="119">
        <f>'Translog Model (NEW)'!AB18</f>
        <v>0.15529183259466206</v>
      </c>
      <c r="L32" s="121"/>
    </row>
    <row r="33" spans="3:12" x14ac:dyDescent="0.2">
      <c r="C33" s="123"/>
      <c r="D33" s="123"/>
      <c r="E33" s="119">
        <f>'Translog Model (NEW)'!V19</f>
        <v>56.196988118850015</v>
      </c>
      <c r="F33" s="109">
        <f>'Translog Model (NEW)'!W19</f>
        <v>22984.568140609656</v>
      </c>
      <c r="G33" s="119">
        <f>'Translog Model (NEW)'!X19</f>
        <v>0.18494243198080085</v>
      </c>
      <c r="H33" s="119">
        <f>'Translog Model (NEW)'!Y19</f>
        <v>0.9861611451824458</v>
      </c>
      <c r="I33" s="119">
        <f>'Translog Model (NEW)'!Z19</f>
        <v>0.26925608953258723</v>
      </c>
      <c r="J33" s="119">
        <f>'Translog Model (NEW)'!AA19</f>
        <v>0.82027649769585254</v>
      </c>
      <c r="K33" s="119">
        <f>'Translog Model (NEW)'!AB19</f>
        <v>4.9796876023796947E-2</v>
      </c>
      <c r="L33" s="121"/>
    </row>
    <row r="34" spans="3:12" x14ac:dyDescent="0.2">
      <c r="C34" s="123"/>
      <c r="D34" s="123"/>
      <c r="E34" s="119">
        <f>'Translog Model (NEW)'!V20</f>
        <v>6.2999527182500046</v>
      </c>
      <c r="F34" s="109">
        <f>'Translog Model (NEW)'!W20</f>
        <v>1719.8870920822512</v>
      </c>
      <c r="G34" s="119">
        <f>'Translog Model (NEW)'!X20</f>
        <v>1.3838854817554216E-2</v>
      </c>
      <c r="H34" s="119">
        <f>'Translog Model (NEW)'!Y20</f>
        <v>1</v>
      </c>
      <c r="I34" s="119">
        <f>'Translog Model (NEW)'!Z20</f>
        <v>0.17972350230414746</v>
      </c>
      <c r="J34" s="119">
        <f>'Translog Model (NEW)'!AA20</f>
        <v>1</v>
      </c>
      <c r="K34" s="119">
        <f>'Translog Model (NEW)'!AB20</f>
        <v>2.4871674556894651E-3</v>
      </c>
      <c r="L34" s="122"/>
    </row>
    <row r="35" spans="3:12" x14ac:dyDescent="0.2">
      <c r="C35" s="123"/>
      <c r="D35" s="123" t="s">
        <v>134</v>
      </c>
      <c r="E35" s="119">
        <f>'Translog Model (NEW)'!V27</f>
        <v>164.39608995442651</v>
      </c>
      <c r="F35" s="109">
        <f>'Translog Model (NEW)'!W27</f>
        <v>540369.94768019998</v>
      </c>
      <c r="G35" s="119">
        <f>'Translog Model (NEW)'!X27</f>
        <v>0.39894505295286903</v>
      </c>
      <c r="H35" s="119">
        <f>'Translog Model (NEW)'!Y27</f>
        <v>0.39894505295286903</v>
      </c>
      <c r="I35" s="119">
        <f>'Translog Model (NEW)'!Z27</f>
        <v>0.21737980292308709</v>
      </c>
      <c r="J35" s="119">
        <f>'Translog Model (NEW)'!AA27</f>
        <v>0.21737980292308709</v>
      </c>
      <c r="K35" s="119">
        <f>'Translog Model (NEW)'!AB27</f>
        <v>8.6722596988035208E-2</v>
      </c>
      <c r="L35" s="120">
        <f>'Translog Model (NEW)'!AC27</f>
        <v>0.71907051341777528</v>
      </c>
    </row>
    <row r="36" spans="3:12" x14ac:dyDescent="0.2">
      <c r="C36" s="123"/>
      <c r="D36" s="123"/>
      <c r="E36" s="119">
        <f>'Translog Model (NEW)'!V28</f>
        <v>95.776053678937501</v>
      </c>
      <c r="F36" s="109">
        <f>'Translog Model (NEW)'!W28</f>
        <v>536729.00481676578</v>
      </c>
      <c r="G36" s="119">
        <f>'Translog Model (NEW)'!X28</f>
        <v>0.39625701275062086</v>
      </c>
      <c r="H36" s="119">
        <f>'Translog Model (NEW)'!Y28</f>
        <v>0.79520206570348995</v>
      </c>
      <c r="I36" s="119">
        <f>'Translog Model (NEW)'!Z28</f>
        <v>0.37061040936446005</v>
      </c>
      <c r="J36" s="119">
        <f>'Translog Model (NEW)'!AA28</f>
        <v>0.58799021228754711</v>
      </c>
      <c r="K36" s="119">
        <f>'Translog Model (NEW)'!AB28</f>
        <v>0.14685697370904566</v>
      </c>
      <c r="L36" s="121"/>
    </row>
    <row r="37" spans="3:12" x14ac:dyDescent="0.2">
      <c r="C37" s="123"/>
      <c r="D37" s="123"/>
      <c r="E37" s="119">
        <f>'Translog Model (NEW)'!V29</f>
        <v>54.040579729875382</v>
      </c>
      <c r="F37" s="109">
        <f>'Translog Model (NEW)'!W29</f>
        <v>208974.9218154281</v>
      </c>
      <c r="G37" s="119">
        <f>'Translog Model (NEW)'!X29</f>
        <v>0.15428228680625503</v>
      </c>
      <c r="H37" s="119">
        <f>'Translog Model (NEW)'!Y29</f>
        <v>0.94948435250974494</v>
      </c>
      <c r="I37" s="119">
        <f>'Translog Model (NEW)'!Z29</f>
        <v>0.25573705442761724</v>
      </c>
      <c r="J37" s="119">
        <f>'Translog Model (NEW)'!AA29</f>
        <v>0.84372726671516429</v>
      </c>
      <c r="K37" s="119">
        <f>'Translog Model (NEW)'!AB29</f>
        <v>3.9455697578188481E-2</v>
      </c>
      <c r="L37" s="121"/>
    </row>
    <row r="38" spans="3:12" x14ac:dyDescent="0.2">
      <c r="C38" s="123"/>
      <c r="D38" s="123"/>
      <c r="E38" s="119">
        <f>'Translog Model (NEW)'!V30</f>
        <v>28.956115903102777</v>
      </c>
      <c r="F38" s="109">
        <f>'Translog Model (NEW)'!W30</f>
        <v>68423.30187903186</v>
      </c>
      <c r="G38" s="119">
        <f>'Translog Model (NEW)'!X30</f>
        <v>5.0515647490254979E-2</v>
      </c>
      <c r="H38" s="119">
        <f>'Translog Model (NEW)'!Y30</f>
        <v>0.99999999999999989</v>
      </c>
      <c r="I38" s="119">
        <f>'Translog Model (NEW)'!Z30</f>
        <v>0.15627273328483565</v>
      </c>
      <c r="J38" s="119">
        <f>'Translog Model (NEW)'!AA30</f>
        <v>1</v>
      </c>
      <c r="K38" s="119">
        <f>'Translog Model (NEW)'!AB30</f>
        <v>7.8942183069553914E-3</v>
      </c>
      <c r="L38" s="122"/>
    </row>
    <row r="39" spans="3:12" x14ac:dyDescent="0.2">
      <c r="C39" s="123" t="s">
        <v>190</v>
      </c>
      <c r="D39" s="123" t="s">
        <v>121</v>
      </c>
      <c r="E39" s="119">
        <f>'Translog Model (NEW)'!AF7</f>
        <v>163.16046574615316</v>
      </c>
      <c r="F39" s="109">
        <f>'Translog Model (NEW)'!AG7</f>
        <v>489644.55770420562</v>
      </c>
      <c r="G39" s="119">
        <f>'Translog Model (NEW)'!AH7</f>
        <v>0.33760367506776962</v>
      </c>
      <c r="H39" s="119">
        <f>'Translog Model (NEW)'!AI7</f>
        <v>0.33760367506776962</v>
      </c>
      <c r="I39" s="119">
        <f>'Translog Model (NEW)'!AJ7</f>
        <v>0.2206293192177621</v>
      </c>
      <c r="J39" s="119">
        <f>'Translog Model (NEW)'!AK7</f>
        <v>0.2206293192177621</v>
      </c>
      <c r="K39" s="119">
        <f>'Translog Model (NEW)'!AL7</f>
        <v>7.4485268995616583E-2</v>
      </c>
      <c r="L39" s="120">
        <f>'Translog Model (NEW)'!AM7</f>
        <v>0.72433365137756445</v>
      </c>
    </row>
    <row r="40" spans="3:12" x14ac:dyDescent="0.2">
      <c r="C40" s="123"/>
      <c r="D40" s="123"/>
      <c r="E40" s="119">
        <f>'Translog Model (NEW)'!AF8</f>
        <v>107.23576541897543</v>
      </c>
      <c r="F40" s="109">
        <f>'Translog Model (NEW)'!AG8</f>
        <v>541862.32266208285</v>
      </c>
      <c r="G40" s="119">
        <f>'Translog Model (NEW)'!AH8</f>
        <v>0.37360715774969899</v>
      </c>
      <c r="H40" s="119">
        <f>'Translog Model (NEW)'!AI8</f>
        <v>0.71121083281746866</v>
      </c>
      <c r="I40" s="119">
        <f>'Translog Model (NEW)'!AJ8</f>
        <v>0.37148948684017058</v>
      </c>
      <c r="J40" s="119">
        <f>'Translog Model (NEW)'!AK8</f>
        <v>0.59211880605793266</v>
      </c>
      <c r="K40" s="119">
        <f>'Translog Model (NEW)'!AL8</f>
        <v>0.13879113131225035</v>
      </c>
      <c r="L40" s="121"/>
    </row>
    <row r="41" spans="3:12" x14ac:dyDescent="0.2">
      <c r="C41" s="123"/>
      <c r="D41" s="123"/>
      <c r="E41" s="119">
        <f>'Translog Model (NEW)'!AF9</f>
        <v>75.133364353460905</v>
      </c>
      <c r="F41" s="109">
        <f>'Translog Model (NEW)'!AG9</f>
        <v>259811.1739342678</v>
      </c>
      <c r="G41" s="119">
        <f>'Translog Model (NEW)'!AH9</f>
        <v>0.17913648944683644</v>
      </c>
      <c r="H41" s="119">
        <f>'Translog Model (NEW)'!AI9</f>
        <v>0.89034732226430513</v>
      </c>
      <c r="I41" s="119">
        <f>'Translog Model (NEW)'!AJ9</f>
        <v>0.25422731951183647</v>
      </c>
      <c r="J41" s="119">
        <f>'Translog Model (NEW)'!AK9</f>
        <v>0.84634612556976907</v>
      </c>
      <c r="K41" s="119">
        <f>'Translog Model (NEW)'!AL9</f>
        <v>4.5541389538829607E-2</v>
      </c>
      <c r="L41" s="121"/>
    </row>
    <row r="42" spans="3:12" x14ac:dyDescent="0.2">
      <c r="C42" s="123"/>
      <c r="D42" s="123"/>
      <c r="E42" s="119">
        <f>'Translog Model (NEW)'!AF10</f>
        <v>76.093353060977719</v>
      </c>
      <c r="F42" s="109">
        <f>'Translog Model (NEW)'!AG10</f>
        <v>159035.10789744343</v>
      </c>
      <c r="G42" s="119">
        <f>'Translog Model (NEW)'!AH10</f>
        <v>0.10965267773569499</v>
      </c>
      <c r="H42" s="119">
        <f>'Translog Model (NEW)'!AI10</f>
        <v>1.0000000000000002</v>
      </c>
      <c r="I42" s="119">
        <f>'Translog Model (NEW)'!AJ10</f>
        <v>0.15365387443023085</v>
      </c>
      <c r="J42" s="119">
        <f>'Translog Model (NEW)'!AK10</f>
        <v>0.99999999999999989</v>
      </c>
      <c r="K42" s="119">
        <f>'Translog Model (NEW)'!AL10</f>
        <v>1.6848558775739059E-2</v>
      </c>
      <c r="L42" s="122"/>
    </row>
    <row r="43" spans="3:12" x14ac:dyDescent="0.2">
      <c r="C43" s="123"/>
      <c r="D43" s="123" t="s">
        <v>122</v>
      </c>
      <c r="E43" s="119">
        <f>'Translog Model (NEW)'!AF17</f>
        <v>182.36797115135715</v>
      </c>
      <c r="F43" s="109">
        <f>'Translog Model (NEW)'!AG17</f>
        <v>52157.239749288143</v>
      </c>
      <c r="G43" s="119">
        <f>'Translog Model (NEW)'!AH17</f>
        <v>0.27432259732756054</v>
      </c>
      <c r="H43" s="119">
        <f>'Translog Model (NEW)'!AI17</f>
        <v>0.27432259732756054</v>
      </c>
      <c r="I43" s="119">
        <f>'Translog Model (NEW)'!AJ17</f>
        <v>0.18828176431863067</v>
      </c>
      <c r="J43" s="119">
        <f>'Translog Model (NEW)'!AK17</f>
        <v>0.18828176431863067</v>
      </c>
      <c r="K43" s="119">
        <f>'Translog Model (NEW)'!AL17</f>
        <v>5.1649942617302373E-2</v>
      </c>
      <c r="L43" s="120">
        <f>'Translog Model (NEW)'!AM17</f>
        <v>0.72589611768027518</v>
      </c>
    </row>
    <row r="44" spans="3:12" x14ac:dyDescent="0.2">
      <c r="C44" s="123"/>
      <c r="D44" s="123"/>
      <c r="E44" s="119">
        <f>'Translog Model (NEW)'!AF18</f>
        <v>133.41793596407899</v>
      </c>
      <c r="F44" s="109">
        <f>'Translog Model (NEW)'!AG18</f>
        <v>73513.282716207526</v>
      </c>
      <c r="G44" s="119">
        <f>'Translog Model (NEW)'!AH18</f>
        <v>0.38664535833801572</v>
      </c>
      <c r="H44" s="119">
        <f>'Translog Model (NEW)'!AI18</f>
        <v>0.66096795566557631</v>
      </c>
      <c r="I44" s="119">
        <f>'Translog Model (NEW)'!AJ18</f>
        <v>0.36273864384463461</v>
      </c>
      <c r="J44" s="119">
        <f>'Translog Model (NEW)'!AK18</f>
        <v>0.55102040816326525</v>
      </c>
      <c r="K44" s="119">
        <f>'Translog Model (NEW)'!AL18</f>
        <v>0.14025121293235462</v>
      </c>
      <c r="L44" s="121"/>
    </row>
    <row r="45" spans="3:12" x14ac:dyDescent="0.2">
      <c r="C45" s="123"/>
      <c r="D45" s="123"/>
      <c r="E45" s="119">
        <f>'Translog Model (NEW)'!AF19</f>
        <v>110.44100831150554</v>
      </c>
      <c r="F45" s="109">
        <f>'Translog Model (NEW)'!AG19</f>
        <v>45170.372399405765</v>
      </c>
      <c r="G45" s="119">
        <f>'Translog Model (NEW)'!AH19</f>
        <v>0.23757495485614269</v>
      </c>
      <c r="H45" s="119">
        <f>'Translog Model (NEW)'!AI19</f>
        <v>0.89854291052171897</v>
      </c>
      <c r="I45" s="119">
        <f>'Translog Model (NEW)'!AJ19</f>
        <v>0.26925608953258723</v>
      </c>
      <c r="J45" s="119">
        <f>'Translog Model (NEW)'!AK19</f>
        <v>0.82027649769585254</v>
      </c>
      <c r="K45" s="119">
        <f>'Translog Model (NEW)'!AL19</f>
        <v>6.3968503315445929E-2</v>
      </c>
      <c r="L45" s="121"/>
    </row>
    <row r="46" spans="3:12" x14ac:dyDescent="0.2">
      <c r="C46" s="123"/>
      <c r="D46" s="123"/>
      <c r="E46" s="119">
        <f>'Translog Model (NEW)'!AF20</f>
        <v>70.65985925593867</v>
      </c>
      <c r="F46" s="109">
        <f>'Translog Model (NEW)'!AG20</f>
        <v>19290.141576871258</v>
      </c>
      <c r="G46" s="119">
        <f>'Translog Model (NEW)'!AH20</f>
        <v>0.10145708947828111</v>
      </c>
      <c r="H46" s="119">
        <f>'Translog Model (NEW)'!AI20</f>
        <v>1</v>
      </c>
      <c r="I46" s="119">
        <f>'Translog Model (NEW)'!AJ20</f>
        <v>0.17972350230414746</v>
      </c>
      <c r="J46" s="119">
        <f>'Translog Model (NEW)'!AK20</f>
        <v>1</v>
      </c>
      <c r="K46" s="119">
        <f>'Translog Model (NEW)'!AL20</f>
        <v>1.8234223454621935E-2</v>
      </c>
      <c r="L46" s="122"/>
    </row>
    <row r="47" spans="3:12" x14ac:dyDescent="0.2">
      <c r="C47" s="123"/>
      <c r="D47" s="123" t="s">
        <v>134</v>
      </c>
      <c r="E47" s="119">
        <f>'Translog Model (NEW)'!AF27</f>
        <v>164.83169986415993</v>
      </c>
      <c r="F47" s="109">
        <f>'Translog Model (NEW)'!AG27</f>
        <v>541801.79745349369</v>
      </c>
      <c r="G47" s="119">
        <f>'Translog Model (NEW)'!AH27</f>
        <v>0.33026943990239915</v>
      </c>
      <c r="H47" s="119">
        <f>'Translog Model (NEW)'!AI27</f>
        <v>0.33026943990239915</v>
      </c>
      <c r="I47" s="119">
        <f>'Translog Model (NEW)'!AJ27</f>
        <v>0.21737980292308709</v>
      </c>
      <c r="J47" s="119">
        <f>'Translog Model (NEW)'!AK27</f>
        <v>0.21737980292308709</v>
      </c>
      <c r="K47" s="119">
        <f>'Translog Model (NEW)'!AL27</f>
        <v>7.1793905757501886E-2</v>
      </c>
      <c r="L47" s="120">
        <f>'Translog Model (NEW)'!AM27</f>
        <v>0.72465213025903807</v>
      </c>
    </row>
    <row r="48" spans="3:12" x14ac:dyDescent="0.2">
      <c r="C48" s="123"/>
      <c r="D48" s="123"/>
      <c r="E48" s="119">
        <f>'Translog Model (NEW)'!AF28</f>
        <v>109.81006519955218</v>
      </c>
      <c r="F48" s="109">
        <f>'Translog Model (NEW)'!AG28</f>
        <v>615375.60537829041</v>
      </c>
      <c r="G48" s="119">
        <f>'Translog Model (NEW)'!AH28</f>
        <v>0.37511827659695635</v>
      </c>
      <c r="H48" s="119">
        <f>'Translog Model (NEW)'!AI28</f>
        <v>0.7053877164993555</v>
      </c>
      <c r="I48" s="119">
        <f>'Translog Model (NEW)'!AJ28</f>
        <v>0.37061040936446005</v>
      </c>
      <c r="J48" s="119">
        <f>'Translog Model (NEW)'!AK28</f>
        <v>0.58799021228754711</v>
      </c>
      <c r="K48" s="119">
        <f>'Translog Model (NEW)'!AL28</f>
        <v>0.13902273804968873</v>
      </c>
      <c r="L48" s="121"/>
    </row>
    <row r="49" spans="3:12" x14ac:dyDescent="0.2">
      <c r="C49" s="123"/>
      <c r="D49" s="123"/>
      <c r="E49" s="119">
        <f>'Translog Model (NEW)'!AF29</f>
        <v>78.867738901906819</v>
      </c>
      <c r="F49" s="109">
        <f>'Translog Model (NEW)'!AG29</f>
        <v>304981.54633367364</v>
      </c>
      <c r="G49" s="119">
        <f>'Translog Model (NEW)'!AH29</f>
        <v>0.18590946903758832</v>
      </c>
      <c r="H49" s="119">
        <f>'Translog Model (NEW)'!AI29</f>
        <v>0.89129718553694381</v>
      </c>
      <c r="I49" s="119">
        <f>'Translog Model (NEW)'!AJ29</f>
        <v>0.25573705442761724</v>
      </c>
      <c r="J49" s="119">
        <f>'Translog Model (NEW)'!AK29</f>
        <v>0.84372726671516429</v>
      </c>
      <c r="K49" s="119">
        <f>'Translog Model (NEW)'!AL29</f>
        <v>4.7543940001875132E-2</v>
      </c>
      <c r="L49" s="121"/>
    </row>
    <row r="50" spans="3:12" x14ac:dyDescent="0.2">
      <c r="C50" s="123"/>
      <c r="D50" s="123"/>
      <c r="E50" s="119">
        <f>'Translog Model (NEW)'!AF30</f>
        <v>75.465615520234735</v>
      </c>
      <c r="F50" s="109">
        <f>'Translog Model (NEW)'!AG30</f>
        <v>178325.24947431468</v>
      </c>
      <c r="G50" s="119">
        <f>'Translog Model (NEW)'!AH30</f>
        <v>0.10870281446305624</v>
      </c>
      <c r="H50" s="119">
        <f>'Translog Model (NEW)'!AI30</f>
        <v>1</v>
      </c>
      <c r="I50" s="119">
        <f>'Translog Model (NEW)'!AJ30</f>
        <v>0.15627273328483565</v>
      </c>
      <c r="J50" s="119">
        <f>'Translog Model (NEW)'!AK30</f>
        <v>1</v>
      </c>
      <c r="K50" s="119">
        <f>'Translog Model (NEW)'!AL30</f>
        <v>1.6987285931896162E-2</v>
      </c>
      <c r="L50" s="122"/>
    </row>
    <row r="51" spans="3:12" x14ac:dyDescent="0.2">
      <c r="C51" s="61"/>
    </row>
    <row r="52" spans="3:12" x14ac:dyDescent="0.2">
      <c r="C52" s="61"/>
    </row>
    <row r="53" spans="3:12" x14ac:dyDescent="0.2">
      <c r="C53" s="61"/>
    </row>
    <row r="54" spans="3:12" x14ac:dyDescent="0.2">
      <c r="C54" s="61"/>
    </row>
    <row r="55" spans="3:12" x14ac:dyDescent="0.2">
      <c r="C55" s="61"/>
    </row>
    <row r="56" spans="3:12" x14ac:dyDescent="0.2">
      <c r="C56" s="61"/>
    </row>
  </sheetData>
  <mergeCells count="41">
    <mergeCell ref="B20:B24"/>
    <mergeCell ref="H20:H23"/>
    <mergeCell ref="N20:N24"/>
    <mergeCell ref="O20:O24"/>
    <mergeCell ref="O8:O9"/>
    <mergeCell ref="B10:B14"/>
    <mergeCell ref="H10:H13"/>
    <mergeCell ref="N10:N14"/>
    <mergeCell ref="O10:O14"/>
    <mergeCell ref="B15:B19"/>
    <mergeCell ref="H15:H18"/>
    <mergeCell ref="N15:N19"/>
    <mergeCell ref="O15:O19"/>
    <mergeCell ref="I8:I9"/>
    <mergeCell ref="J8:J9"/>
    <mergeCell ref="K8:K9"/>
    <mergeCell ref="B8:B9"/>
    <mergeCell ref="C8:C9"/>
    <mergeCell ref="D8:D9"/>
    <mergeCell ref="E8:E9"/>
    <mergeCell ref="F8:F9"/>
    <mergeCell ref="H2:J2"/>
    <mergeCell ref="F2:G2"/>
    <mergeCell ref="L8:L9"/>
    <mergeCell ref="M8:M9"/>
    <mergeCell ref="N8:N9"/>
    <mergeCell ref="G8:H8"/>
    <mergeCell ref="C39:C50"/>
    <mergeCell ref="C27:C38"/>
    <mergeCell ref="D27:D30"/>
    <mergeCell ref="D31:D34"/>
    <mergeCell ref="D35:D38"/>
    <mergeCell ref="D39:D42"/>
    <mergeCell ref="D43:D46"/>
    <mergeCell ref="D47:D50"/>
    <mergeCell ref="L47:L50"/>
    <mergeCell ref="L27:L30"/>
    <mergeCell ref="L31:L34"/>
    <mergeCell ref="L35:L38"/>
    <mergeCell ref="L39:L42"/>
    <mergeCell ref="L43:L46"/>
  </mergeCells>
  <pageMargins left="0.25" right="0.25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2F05-0725-DA40-879B-C47C6C9B2BC6}">
  <dimension ref="A1:AW33"/>
  <sheetViews>
    <sheetView tabSelected="1" zoomScale="110" workbookViewId="0">
      <selection activeCell="L8" sqref="L8"/>
    </sheetView>
  </sheetViews>
  <sheetFormatPr baseColWidth="10" defaultRowHeight="15" x14ac:dyDescent="0.2"/>
  <cols>
    <col min="1" max="1" width="7.1640625" customWidth="1"/>
    <col min="2" max="2" width="10" bestFit="1" customWidth="1"/>
    <col min="3" max="6" width="11.83203125" customWidth="1"/>
    <col min="7" max="7" width="12.6640625" customWidth="1"/>
    <col min="8" max="9" width="12.5" bestFit="1" customWidth="1"/>
    <col min="10" max="10" width="11.33203125" style="23" customWidth="1"/>
    <col min="11" max="11" width="11.1640625" style="20" bestFit="1" customWidth="1"/>
    <col min="12" max="13" width="11.1640625" bestFit="1" customWidth="1"/>
    <col min="14" max="15" width="11.6640625" bestFit="1" customWidth="1"/>
    <col min="17" max="17" width="11.6640625" bestFit="1" customWidth="1"/>
    <col min="19" max="19" width="11.33203125" style="23" bestFit="1" customWidth="1"/>
    <col min="20" max="20" width="11.33203125" style="20" bestFit="1" customWidth="1"/>
    <col min="22" max="28" width="11.1640625" bestFit="1" customWidth="1"/>
    <col min="29" max="29" width="11.33203125" bestFit="1" customWidth="1"/>
    <col min="30" max="30" width="11.1640625" bestFit="1" customWidth="1"/>
    <col min="32" max="36" width="11.1640625" bestFit="1" customWidth="1"/>
  </cols>
  <sheetData>
    <row r="1" spans="1:49" x14ac:dyDescent="0.2">
      <c r="A1" s="11" t="s">
        <v>132</v>
      </c>
      <c r="D1" s="48">
        <v>1.9544889999999999E-2</v>
      </c>
      <c r="F1" s="11" t="s">
        <v>91</v>
      </c>
      <c r="H1" s="19">
        <f>N13+N23</f>
        <v>1623090.9978090457</v>
      </c>
      <c r="L1" s="11" t="s">
        <v>127</v>
      </c>
      <c r="N1" s="49">
        <f>AC7</f>
        <v>0.71862867339136405</v>
      </c>
      <c r="O1" s="137" t="s">
        <v>136</v>
      </c>
      <c r="P1" s="49">
        <f>AM7</f>
        <v>0.72433365137756445</v>
      </c>
      <c r="Q1" s="47">
        <f>N1/P1-1</f>
        <v>-7.8761741572416222E-3</v>
      </c>
    </row>
    <row r="2" spans="1:49" x14ac:dyDescent="0.2">
      <c r="A2" s="11" t="s">
        <v>133</v>
      </c>
      <c r="D2">
        <v>2.35E-2</v>
      </c>
      <c r="F2" s="11" t="s">
        <v>92</v>
      </c>
      <c r="H2" s="19">
        <f>M13+M23</f>
        <v>1645152.0990725497</v>
      </c>
      <c r="L2" s="11" t="s">
        <v>128</v>
      </c>
      <c r="N2" s="49">
        <f>AC17</f>
        <v>0.72217444904283323</v>
      </c>
      <c r="O2" s="137"/>
      <c r="P2" s="49">
        <f>AM17</f>
        <v>0.72589611768027518</v>
      </c>
      <c r="Q2" s="47">
        <f>N2/P2-1</f>
        <v>-5.1269989559045159E-3</v>
      </c>
    </row>
    <row r="3" spans="1:49" x14ac:dyDescent="0.2">
      <c r="F3" s="11" t="s">
        <v>86</v>
      </c>
      <c r="G3" t="s">
        <v>89</v>
      </c>
      <c r="H3" s="19">
        <f>O13+O23</f>
        <v>22061.101263503951</v>
      </c>
      <c r="I3" s="46">
        <f>H2/H1-1</f>
        <v>1.3592029832759644E-2</v>
      </c>
      <c r="L3" s="11" t="s">
        <v>135</v>
      </c>
      <c r="N3" s="49">
        <f>AC27</f>
        <v>0.71907051341777528</v>
      </c>
      <c r="O3" s="137"/>
      <c r="P3" s="49">
        <f>AM27</f>
        <v>0.72465213025903807</v>
      </c>
      <c r="Q3" s="47">
        <f>N3/P3-1</f>
        <v>-7.7024776554062147E-3</v>
      </c>
      <c r="S3" s="30" t="s">
        <v>81</v>
      </c>
      <c r="V3" s="11" t="s">
        <v>137</v>
      </c>
      <c r="AF3" s="11" t="s">
        <v>138</v>
      </c>
    </row>
    <row r="4" spans="1:49" x14ac:dyDescent="0.2">
      <c r="E4" s="11"/>
      <c r="I4" s="18"/>
      <c r="J4" s="23" t="s">
        <v>95</v>
      </c>
      <c r="K4" s="20" t="s">
        <v>94</v>
      </c>
      <c r="S4" s="23" t="s">
        <v>96</v>
      </c>
      <c r="T4" s="20" t="s">
        <v>95</v>
      </c>
    </row>
    <row r="5" spans="1:49" x14ac:dyDescent="0.2">
      <c r="A5" s="11" t="s">
        <v>121</v>
      </c>
      <c r="B5" s="11"/>
      <c r="C5" s="11"/>
      <c r="D5" s="11"/>
      <c r="E5" s="11"/>
      <c r="F5" s="31"/>
      <c r="G5" s="31"/>
      <c r="H5" t="s">
        <v>163</v>
      </c>
      <c r="I5" t="s">
        <v>163</v>
      </c>
      <c r="J5" s="28" t="s">
        <v>110</v>
      </c>
      <c r="K5" s="28" t="s">
        <v>110</v>
      </c>
      <c r="L5" t="s">
        <v>163</v>
      </c>
      <c r="M5" t="s">
        <v>163</v>
      </c>
      <c r="N5" t="s">
        <v>163</v>
      </c>
      <c r="Q5" s="29" t="s">
        <v>110</v>
      </c>
      <c r="V5" s="28" t="s">
        <v>110</v>
      </c>
      <c r="AF5" s="28" t="s">
        <v>110</v>
      </c>
      <c r="AS5" t="s">
        <v>160</v>
      </c>
      <c r="AV5" t="s">
        <v>161</v>
      </c>
    </row>
    <row r="6" spans="1:49" ht="48" x14ac:dyDescent="0.2">
      <c r="A6" s="17" t="s">
        <v>25</v>
      </c>
      <c r="B6" s="17" t="s">
        <v>144</v>
      </c>
      <c r="C6" s="17" t="s">
        <v>148</v>
      </c>
      <c r="D6" s="54" t="s">
        <v>147</v>
      </c>
      <c r="E6" s="17" t="s">
        <v>173</v>
      </c>
      <c r="F6" s="17" t="s">
        <v>172</v>
      </c>
      <c r="H6" s="17" t="s">
        <v>114</v>
      </c>
      <c r="I6" s="17" t="s">
        <v>174</v>
      </c>
      <c r="J6" s="24" t="s">
        <v>81</v>
      </c>
      <c r="K6" s="21" t="s">
        <v>167</v>
      </c>
      <c r="L6" s="17" t="s">
        <v>83</v>
      </c>
      <c r="M6" s="17" t="s">
        <v>168</v>
      </c>
      <c r="N6" s="17" t="s">
        <v>85</v>
      </c>
      <c r="O6" s="17" t="s">
        <v>86</v>
      </c>
      <c r="P6" s="8"/>
      <c r="Q6" s="17" t="s">
        <v>111</v>
      </c>
      <c r="S6" s="24" t="s">
        <v>90</v>
      </c>
      <c r="T6" s="21" t="s">
        <v>87</v>
      </c>
      <c r="V6" s="17" t="s">
        <v>193</v>
      </c>
      <c r="W6" s="17" t="s">
        <v>105</v>
      </c>
      <c r="X6" s="17" t="s">
        <v>102</v>
      </c>
      <c r="Y6" s="17" t="s">
        <v>101</v>
      </c>
      <c r="Z6" s="17" t="s">
        <v>103</v>
      </c>
      <c r="AA6" s="17" t="s">
        <v>104</v>
      </c>
      <c r="AC6" s="17" t="s">
        <v>106</v>
      </c>
      <c r="AF6" s="17" t="s">
        <v>100</v>
      </c>
      <c r="AG6" s="17" t="s">
        <v>105</v>
      </c>
      <c r="AH6" s="17" t="s">
        <v>102</v>
      </c>
      <c r="AI6" s="17" t="s">
        <v>101</v>
      </c>
      <c r="AJ6" s="17" t="s">
        <v>103</v>
      </c>
      <c r="AK6" s="17" t="s">
        <v>104</v>
      </c>
      <c r="AM6" s="17" t="s">
        <v>106</v>
      </c>
      <c r="AR6" t="s">
        <v>121</v>
      </c>
      <c r="AS6" s="17" t="s">
        <v>101</v>
      </c>
      <c r="AT6" s="17" t="s">
        <v>104</v>
      </c>
      <c r="AV6" s="17" t="s">
        <v>101</v>
      </c>
      <c r="AW6" s="17" t="s">
        <v>104</v>
      </c>
    </row>
    <row r="7" spans="1:49" x14ac:dyDescent="0.2">
      <c r="A7" s="8" t="s">
        <v>117</v>
      </c>
      <c r="B7" s="8">
        <v>3001</v>
      </c>
      <c r="C7" s="50">
        <v>160.53818999999999</v>
      </c>
      <c r="D7" s="50">
        <f>C7*52</f>
        <v>8347.9858800000002</v>
      </c>
      <c r="E7" s="50">
        <v>158.28059920000001</v>
      </c>
      <c r="F7" s="50">
        <f>52*E7</f>
        <v>8230.5911584000005</v>
      </c>
      <c r="H7" s="18">
        <f>C7*52*B7</f>
        <v>25052305.625879999</v>
      </c>
      <c r="I7" s="18">
        <f>F7*B7</f>
        <v>24700004.066358402</v>
      </c>
      <c r="J7" s="51">
        <f>K7*F7</f>
        <v>0</v>
      </c>
      <c r="K7" s="43">
        <v>0</v>
      </c>
      <c r="L7" s="19">
        <f>B7*(F7-J7-Q7)</f>
        <v>24700004.066358402</v>
      </c>
      <c r="M7" s="19">
        <f t="shared" ref="M7:M10" si="0">L7*$D$2</f>
        <v>580450.09555942251</v>
      </c>
      <c r="N7" s="19">
        <f>H7*$D$1</f>
        <v>489644.55770420568</v>
      </c>
      <c r="O7" s="19">
        <f t="shared" ref="O7:O10" si="1">M7-N7</f>
        <v>90805.537855216826</v>
      </c>
      <c r="Q7">
        <v>0</v>
      </c>
      <c r="S7" s="34">
        <v>0</v>
      </c>
      <c r="T7" s="26">
        <f>S7/F7</f>
        <v>0</v>
      </c>
      <c r="U7">
        <v>164.6118232</v>
      </c>
      <c r="V7">
        <f>U7-J7*$D$2</f>
        <v>164.6118232</v>
      </c>
      <c r="W7">
        <f>B7*V7</f>
        <v>494000.08142320003</v>
      </c>
      <c r="X7">
        <f>W7/$W$13</f>
        <v>0.40155504502260592</v>
      </c>
      <c r="Y7">
        <f>X7</f>
        <v>0.40155504502260592</v>
      </c>
      <c r="Z7">
        <f>B7/$B$13</f>
        <v>0.2206293192177621</v>
      </c>
      <c r="AA7">
        <f>Z7</f>
        <v>0.2206293192177621</v>
      </c>
      <c r="AB7">
        <f>Y7*AA7</f>
        <v>8.8594816211795352E-2</v>
      </c>
      <c r="AC7" s="135">
        <f>1-AB13</f>
        <v>0.71862867339136405</v>
      </c>
      <c r="AD7">
        <f t="shared" ref="AD7:AD10" si="2">Y7*AA7</f>
        <v>8.8594816211795352E-2</v>
      </c>
      <c r="AF7">
        <f>N7/B7</f>
        <v>163.16046574615316</v>
      </c>
      <c r="AG7">
        <f>B7*AF7</f>
        <v>489644.55770420562</v>
      </c>
      <c r="AH7">
        <f>AG7/$AG$13</f>
        <v>0.33760367506776962</v>
      </c>
      <c r="AI7">
        <f>AH7</f>
        <v>0.33760367506776962</v>
      </c>
      <c r="AJ7">
        <f>B7/$B$13</f>
        <v>0.2206293192177621</v>
      </c>
      <c r="AK7">
        <f>AJ7</f>
        <v>0.2206293192177621</v>
      </c>
      <c r="AL7">
        <f>AI7*AK7</f>
        <v>7.4485268995616583E-2</v>
      </c>
      <c r="AM7" s="135">
        <f>1-AL13</f>
        <v>0.72433365137756445</v>
      </c>
      <c r="AN7">
        <f t="shared" ref="AN7:AN10" si="3">AI7*AK7</f>
        <v>7.4485268995616583E-2</v>
      </c>
      <c r="AS7">
        <f>Y7</f>
        <v>0.40155504502260592</v>
      </c>
      <c r="AT7">
        <f>AA7</f>
        <v>0.2206293192177621</v>
      </c>
      <c r="AV7">
        <f>AI7</f>
        <v>0.33760367506776962</v>
      </c>
      <c r="AW7">
        <f>AK7</f>
        <v>0.2206293192177621</v>
      </c>
    </row>
    <row r="8" spans="1:49" x14ac:dyDescent="0.2">
      <c r="A8" s="8" t="s">
        <v>119</v>
      </c>
      <c r="B8" s="8">
        <v>5053</v>
      </c>
      <c r="C8" s="50">
        <v>105.512298</v>
      </c>
      <c r="D8" s="50">
        <f t="shared" ref="D8:D10" si="4">C8*52</f>
        <v>5486.6394959999998</v>
      </c>
      <c r="E8" s="50">
        <v>104.26065629999999</v>
      </c>
      <c r="F8" s="50">
        <f>52*E8</f>
        <v>5421.5541275999994</v>
      </c>
      <c r="H8" s="18">
        <f>C8*52*B8</f>
        <v>27723989.373287998</v>
      </c>
      <c r="I8" s="18">
        <f>F8*B8</f>
        <v>27395113.006762799</v>
      </c>
      <c r="J8" s="51">
        <f t="shared" ref="J8:J10" si="5">K8*F8</f>
        <v>542.15541275999999</v>
      </c>
      <c r="K8" s="43">
        <v>0.1</v>
      </c>
      <c r="L8" s="19">
        <f>B8*(F8-J8-Q8)</f>
        <v>24655601.706086516</v>
      </c>
      <c r="M8" s="19">
        <f t="shared" si="0"/>
        <v>579406.64009303309</v>
      </c>
      <c r="N8" s="19">
        <f t="shared" ref="N8:N10" si="6">H8*$D$1</f>
        <v>541862.32266208285</v>
      </c>
      <c r="O8" s="19">
        <f t="shared" si="1"/>
        <v>37544.317430950236</v>
      </c>
      <c r="Q8">
        <v>0</v>
      </c>
      <c r="S8" s="34">
        <v>500</v>
      </c>
      <c r="T8" s="26">
        <f t="shared" ref="T8:T10" si="7">S8/F8</f>
        <v>9.2224478116819761E-2</v>
      </c>
      <c r="U8">
        <v>108.4310825</v>
      </c>
      <c r="V8">
        <f t="shared" ref="V8:V10" si="8">U8-J8*$D$2</f>
        <v>95.690430300140008</v>
      </c>
      <c r="W8">
        <f>B8*V8</f>
        <v>483523.74430660746</v>
      </c>
      <c r="X8">
        <f t="shared" ref="X8:X10" si="9">W8/$W$13</f>
        <v>0.39303920427536237</v>
      </c>
      <c r="Y8">
        <f>X8+Y7</f>
        <v>0.79459424929796829</v>
      </c>
      <c r="Z8">
        <f>B8/$B$13</f>
        <v>0.37148948684017058</v>
      </c>
      <c r="AA8">
        <f>Z8+AA7</f>
        <v>0.59211880605793266</v>
      </c>
      <c r="AB8">
        <f>(Y8-Y7)*(AA8-AA7)</f>
        <v>0.14600993230432335</v>
      </c>
      <c r="AC8" s="136"/>
      <c r="AD8">
        <f t="shared" si="2"/>
        <v>0.47049419819481225</v>
      </c>
      <c r="AF8">
        <f>N8/B8</f>
        <v>107.23576541897543</v>
      </c>
      <c r="AG8">
        <f>B8*AF8</f>
        <v>541862.32266208285</v>
      </c>
      <c r="AH8">
        <f t="shared" ref="AH8:AH10" si="10">AG8/$AG$13</f>
        <v>0.37360715774969899</v>
      </c>
      <c r="AI8">
        <f>AH8+AI7</f>
        <v>0.71121083281746866</v>
      </c>
      <c r="AJ8">
        <f>B8/$B$13</f>
        <v>0.37148948684017058</v>
      </c>
      <c r="AK8">
        <f>AJ8+AK7</f>
        <v>0.59211880605793266</v>
      </c>
      <c r="AL8">
        <f>(AI8-AI7)*(AK8-AK7)</f>
        <v>0.13879113131225035</v>
      </c>
      <c r="AM8" s="136"/>
      <c r="AN8">
        <f t="shared" si="3"/>
        <v>0.4211213091833475</v>
      </c>
      <c r="AS8">
        <f t="shared" ref="AS8:AS30" si="11">Y8</f>
        <v>0.79459424929796829</v>
      </c>
      <c r="AT8">
        <f t="shared" ref="AT8:AT30" si="12">AA8</f>
        <v>0.59211880605793266</v>
      </c>
      <c r="AV8">
        <f t="shared" ref="AV8:AV30" si="13">AI8</f>
        <v>0.71121083281746866</v>
      </c>
      <c r="AW8">
        <f t="shared" ref="AW8:AW30" si="14">AK8</f>
        <v>0.59211880605793266</v>
      </c>
    </row>
    <row r="9" spans="1:49" x14ac:dyDescent="0.2">
      <c r="A9" s="8" t="s">
        <v>120</v>
      </c>
      <c r="B9" s="8">
        <v>3458</v>
      </c>
      <c r="C9" s="50">
        <v>73.925838999999996</v>
      </c>
      <c r="D9" s="50">
        <f t="shared" si="4"/>
        <v>3844.1436279999998</v>
      </c>
      <c r="E9" s="50">
        <v>73.227402819999995</v>
      </c>
      <c r="F9" s="50">
        <f>52*E9</f>
        <v>3807.8249466399998</v>
      </c>
      <c r="H9" s="18">
        <f>C9*52*B9</f>
        <v>13293048.665624</v>
      </c>
      <c r="I9" s="18">
        <f>F9*B9</f>
        <v>13167458.665481118</v>
      </c>
      <c r="J9" s="51">
        <f t="shared" si="5"/>
        <v>951.95623665999995</v>
      </c>
      <c r="K9" s="43">
        <v>0.25</v>
      </c>
      <c r="L9" s="19">
        <f>B9*(F9-J9-Q9)</f>
        <v>9875593.9991108403</v>
      </c>
      <c r="M9" s="19">
        <f t="shared" si="0"/>
        <v>232076.45897910473</v>
      </c>
      <c r="N9" s="19">
        <f t="shared" si="6"/>
        <v>259811.17393426783</v>
      </c>
      <c r="O9" s="19">
        <f t="shared" si="1"/>
        <v>-27734.714955163101</v>
      </c>
      <c r="Q9">
        <v>0</v>
      </c>
      <c r="S9" s="34">
        <v>1000</v>
      </c>
      <c r="T9" s="26">
        <f t="shared" si="7"/>
        <v>0.26261711449797437</v>
      </c>
      <c r="U9">
        <v>76.156498940000006</v>
      </c>
      <c r="V9">
        <f t="shared" si="8"/>
        <v>53.785527378490002</v>
      </c>
      <c r="W9">
        <f>B9*V9</f>
        <v>185990.35367481844</v>
      </c>
      <c r="X9">
        <f t="shared" si="9"/>
        <v>0.1511849241572911</v>
      </c>
      <c r="Y9">
        <f t="shared" ref="Y9:Y10" si="15">X9+Y8</f>
        <v>0.94577917345525941</v>
      </c>
      <c r="Z9">
        <f>B9/$B$13</f>
        <v>0.25422731951183647</v>
      </c>
      <c r="AA9">
        <f t="shared" ref="AA9:AA10" si="16">Z9+AA8</f>
        <v>0.84634612556976907</v>
      </c>
      <c r="AB9">
        <f t="shared" ref="AB9:AB10" si="17">(Y9-Y8)*(AA9-AA8)</f>
        <v>3.8435338019108409E-2</v>
      </c>
      <c r="AC9" s="136"/>
      <c r="AD9">
        <f t="shared" si="2"/>
        <v>0.80045653909843739</v>
      </c>
      <c r="AF9">
        <f>N9/B9</f>
        <v>75.133364353460905</v>
      </c>
      <c r="AG9">
        <f>B9*AF9</f>
        <v>259811.1739342678</v>
      </c>
      <c r="AH9">
        <f t="shared" si="10"/>
        <v>0.17913648944683644</v>
      </c>
      <c r="AI9">
        <f t="shared" ref="AI9:AI10" si="18">AH9+AI8</f>
        <v>0.89034732226430513</v>
      </c>
      <c r="AJ9">
        <f>B9/$B$13</f>
        <v>0.25422731951183647</v>
      </c>
      <c r="AK9">
        <f t="shared" ref="AK9:AK10" si="19">AJ9+AK8</f>
        <v>0.84634612556976907</v>
      </c>
      <c r="AL9">
        <f t="shared" ref="AL9:AL10" si="20">(AI9-AI8)*(AK9-AK8)</f>
        <v>4.5541389538829607E-2</v>
      </c>
      <c r="AM9" s="136"/>
      <c r="AN9">
        <f t="shared" si="3"/>
        <v>0.75354200660981319</v>
      </c>
      <c r="AS9">
        <f t="shared" si="11"/>
        <v>0.94577917345525941</v>
      </c>
      <c r="AT9">
        <f t="shared" si="12"/>
        <v>0.84634612556976907</v>
      </c>
      <c r="AV9">
        <f t="shared" si="13"/>
        <v>0.89034732226430513</v>
      </c>
      <c r="AW9">
        <f t="shared" si="14"/>
        <v>0.84634612556976907</v>
      </c>
    </row>
    <row r="10" spans="1:49" x14ac:dyDescent="0.2">
      <c r="A10" s="8" t="s">
        <v>118</v>
      </c>
      <c r="B10" s="8">
        <v>2090</v>
      </c>
      <c r="C10" s="50">
        <v>74.870399000000006</v>
      </c>
      <c r="D10" s="50">
        <f t="shared" si="4"/>
        <v>3893.2607480000001</v>
      </c>
      <c r="E10" s="50">
        <v>74.395126959999999</v>
      </c>
      <c r="F10" s="50">
        <f>52*E10</f>
        <v>3868.5466019199998</v>
      </c>
      <c r="H10" s="18">
        <f>C10*52*B10</f>
        <v>8136914.9633200001</v>
      </c>
      <c r="I10" s="18">
        <f>F10*B10</f>
        <v>8085262.3980127992</v>
      </c>
      <c r="J10" s="51">
        <f t="shared" si="5"/>
        <v>1934.2733009599999</v>
      </c>
      <c r="K10" s="43">
        <v>0.5</v>
      </c>
      <c r="L10" s="19">
        <f>B10*(F10-J10-Q10)</f>
        <v>4042631.1990063996</v>
      </c>
      <c r="M10" s="19">
        <f t="shared" si="0"/>
        <v>95001.833176650398</v>
      </c>
      <c r="N10" s="19">
        <f t="shared" si="6"/>
        <v>159035.10789744343</v>
      </c>
      <c r="O10" s="19">
        <f t="shared" si="1"/>
        <v>-64033.274720793037</v>
      </c>
      <c r="Q10">
        <v>0</v>
      </c>
      <c r="S10" s="34">
        <v>2000</v>
      </c>
      <c r="T10" s="26">
        <f t="shared" si="7"/>
        <v>0.51699002385220827</v>
      </c>
      <c r="U10">
        <v>77.37093204</v>
      </c>
      <c r="V10">
        <f t="shared" si="8"/>
        <v>31.915509467440003</v>
      </c>
      <c r="W10">
        <f>B10*V10</f>
        <v>66703.414786949608</v>
      </c>
      <c r="X10">
        <f t="shared" si="9"/>
        <v>5.4220826544740697E-2</v>
      </c>
      <c r="Y10">
        <f t="shared" si="15"/>
        <v>1</v>
      </c>
      <c r="Z10">
        <f>B10/$B$13</f>
        <v>0.15365387443023085</v>
      </c>
      <c r="AA10">
        <f t="shared" si="16"/>
        <v>0.99999999999999989</v>
      </c>
      <c r="AB10">
        <f t="shared" si="17"/>
        <v>8.3312400734088955E-3</v>
      </c>
      <c r="AC10" s="136"/>
      <c r="AD10">
        <f t="shared" si="2"/>
        <v>0.99999999999999989</v>
      </c>
      <c r="AF10">
        <f>N10/B10</f>
        <v>76.093353060977719</v>
      </c>
      <c r="AG10">
        <f>B10*AF10</f>
        <v>159035.10789744343</v>
      </c>
      <c r="AH10">
        <f t="shared" si="10"/>
        <v>0.10965267773569499</v>
      </c>
      <c r="AI10">
        <f t="shared" si="18"/>
        <v>1.0000000000000002</v>
      </c>
      <c r="AJ10">
        <f>B10/$B$13</f>
        <v>0.15365387443023085</v>
      </c>
      <c r="AK10">
        <f t="shared" si="19"/>
        <v>0.99999999999999989</v>
      </c>
      <c r="AL10">
        <f t="shared" si="20"/>
        <v>1.6848558775739059E-2</v>
      </c>
      <c r="AM10" s="136"/>
      <c r="AN10">
        <f t="shared" si="3"/>
        <v>1</v>
      </c>
      <c r="AS10">
        <f t="shared" si="11"/>
        <v>1</v>
      </c>
      <c r="AT10">
        <f t="shared" si="12"/>
        <v>0.99999999999999989</v>
      </c>
      <c r="AV10">
        <f t="shared" si="13"/>
        <v>1.0000000000000002</v>
      </c>
      <c r="AW10">
        <f t="shared" si="14"/>
        <v>0.99999999999999989</v>
      </c>
    </row>
    <row r="11" spans="1:49" x14ac:dyDescent="0.2">
      <c r="A11" s="8"/>
      <c r="B11" s="8"/>
      <c r="C11" s="50"/>
      <c r="D11" s="50"/>
      <c r="E11" s="50"/>
      <c r="F11" s="50"/>
      <c r="I11" s="18"/>
      <c r="J11" s="52"/>
      <c r="K11" s="26"/>
      <c r="L11" s="18"/>
      <c r="M11" s="18"/>
      <c r="N11" s="18"/>
      <c r="O11" s="18"/>
      <c r="T11" s="26"/>
      <c r="V11" s="33"/>
      <c r="AC11" s="60"/>
      <c r="AM11" s="60"/>
    </row>
    <row r="12" spans="1:49" x14ac:dyDescent="0.2">
      <c r="A12" s="8"/>
      <c r="B12" s="8"/>
      <c r="C12" s="50"/>
      <c r="D12" s="50"/>
      <c r="E12" s="50"/>
      <c r="F12" s="50"/>
      <c r="I12" s="18"/>
      <c r="J12" s="52"/>
      <c r="K12" s="26"/>
      <c r="L12" s="18"/>
      <c r="M12" s="18"/>
      <c r="N12" s="18"/>
      <c r="O12" s="18"/>
      <c r="T12" s="26"/>
      <c r="V12" s="33"/>
      <c r="AC12" s="60"/>
      <c r="AM12" s="60"/>
    </row>
    <row r="13" spans="1:49" s="16" customFormat="1" x14ac:dyDescent="0.2">
      <c r="A13" s="16" t="s">
        <v>99</v>
      </c>
      <c r="B13" s="16">
        <f>SUM(B7:B12)</f>
        <v>13602</v>
      </c>
      <c r="C13" s="19"/>
      <c r="D13" s="19"/>
      <c r="E13" s="19">
        <f>SUM(E7:E10)/4</f>
        <v>102.54094632000002</v>
      </c>
      <c r="F13" s="19">
        <f>SUM(F7:F12)</f>
        <v>21328.51683456</v>
      </c>
      <c r="H13" s="19">
        <f>SUM(H7:H12)</f>
        <v>74206258.628111988</v>
      </c>
      <c r="I13" s="19">
        <f>SUM(I7:I12)</f>
        <v>73347838.136615127</v>
      </c>
      <c r="J13" s="51">
        <f>SUM(J7:J12)</f>
        <v>3428.3849503800002</v>
      </c>
      <c r="K13" s="22"/>
      <c r="L13" s="19">
        <f>SUM(L7:L12)</f>
        <v>63273830.97056216</v>
      </c>
      <c r="M13" s="19">
        <f>L13*$D$2</f>
        <v>1486935.0278082108</v>
      </c>
      <c r="N13" s="19">
        <f>I13*$D$1</f>
        <v>1433575.4281179477</v>
      </c>
      <c r="O13" s="19">
        <f>M13-N13</f>
        <v>53359.59969026316</v>
      </c>
      <c r="Q13" s="16">
        <f>SUM(Q7:Q12)</f>
        <v>0</v>
      </c>
      <c r="S13" s="25">
        <f>SUM(S7:S12)</f>
        <v>3500</v>
      </c>
      <c r="T13" s="22"/>
      <c r="V13" s="44"/>
      <c r="W13" s="16">
        <f>SUM(W7:W10)</f>
        <v>1230217.5941915754</v>
      </c>
      <c r="AB13" s="16">
        <f>SUM(AB7:AB10)</f>
        <v>0.28137132660863601</v>
      </c>
      <c r="AC13" s="60"/>
      <c r="AG13" s="16">
        <f>SUM(AG7:AG12)</f>
        <v>1450353.1621979997</v>
      </c>
      <c r="AL13" s="16">
        <f>SUM(AL7:AL12)</f>
        <v>0.27566634862243561</v>
      </c>
      <c r="AM13" s="60"/>
      <c r="AS13"/>
      <c r="AT13"/>
      <c r="AU13"/>
      <c r="AV13"/>
      <c r="AW13"/>
    </row>
    <row r="14" spans="1:49" x14ac:dyDescent="0.2">
      <c r="C14" s="18"/>
      <c r="D14" s="18"/>
      <c r="E14" s="18"/>
      <c r="F14" s="18"/>
      <c r="I14" s="18"/>
      <c r="J14" s="52"/>
      <c r="L14" s="18"/>
      <c r="M14" s="18"/>
      <c r="N14" s="18"/>
      <c r="O14" s="18"/>
      <c r="V14" s="33"/>
    </row>
    <row r="15" spans="1:49" x14ac:dyDescent="0.2">
      <c r="A15" s="11" t="s">
        <v>122</v>
      </c>
      <c r="B15" s="11"/>
      <c r="C15" s="53"/>
      <c r="D15" s="53"/>
      <c r="E15" s="53"/>
      <c r="F15" s="53"/>
      <c r="I15" s="18"/>
      <c r="J15" s="52"/>
      <c r="L15" s="18"/>
      <c r="M15" s="18"/>
      <c r="N15" s="18"/>
      <c r="O15" s="18"/>
      <c r="V15" s="33"/>
      <c r="AS15" t="s">
        <v>160</v>
      </c>
      <c r="AV15" t="s">
        <v>161</v>
      </c>
    </row>
    <row r="16" spans="1:49" ht="46" customHeight="1" x14ac:dyDescent="0.2">
      <c r="A16" s="17" t="s">
        <v>25</v>
      </c>
      <c r="B16" s="17" t="s">
        <v>144</v>
      </c>
      <c r="C16" s="17" t="s">
        <v>145</v>
      </c>
      <c r="D16" s="54" t="s">
        <v>146</v>
      </c>
      <c r="E16" s="17" t="s">
        <v>162</v>
      </c>
      <c r="F16" s="54" t="s">
        <v>124</v>
      </c>
      <c r="H16" s="17" t="s">
        <v>114</v>
      </c>
      <c r="I16" s="17" t="s">
        <v>82</v>
      </c>
      <c r="J16" s="55" t="s">
        <v>81</v>
      </c>
      <c r="K16" s="21" t="s">
        <v>167</v>
      </c>
      <c r="L16" s="54" t="s">
        <v>83</v>
      </c>
      <c r="M16" s="54" t="s">
        <v>84</v>
      </c>
      <c r="N16" s="54" t="s">
        <v>85</v>
      </c>
      <c r="O16" s="54" t="s">
        <v>86</v>
      </c>
      <c r="P16" s="8"/>
      <c r="Q16" s="17" t="s">
        <v>88</v>
      </c>
      <c r="S16" s="24" t="s">
        <v>90</v>
      </c>
      <c r="T16" s="21" t="s">
        <v>87</v>
      </c>
      <c r="V16" s="17" t="s">
        <v>100</v>
      </c>
      <c r="W16" s="17" t="s">
        <v>105</v>
      </c>
      <c r="X16" s="17" t="s">
        <v>102</v>
      </c>
      <c r="Y16" s="17" t="s">
        <v>101</v>
      </c>
      <c r="Z16" s="17" t="s">
        <v>103</v>
      </c>
      <c r="AA16" s="17" t="s">
        <v>104</v>
      </c>
      <c r="AC16" s="17" t="s">
        <v>106</v>
      </c>
      <c r="AF16" s="17" t="s">
        <v>100</v>
      </c>
      <c r="AG16" s="17" t="s">
        <v>105</v>
      </c>
      <c r="AH16" s="17" t="s">
        <v>102</v>
      </c>
      <c r="AI16" s="17" t="s">
        <v>101</v>
      </c>
      <c r="AJ16" s="17" t="s">
        <v>103</v>
      </c>
      <c r="AK16" s="17" t="s">
        <v>104</v>
      </c>
      <c r="AM16" s="17" t="s">
        <v>106</v>
      </c>
      <c r="AR16" t="s">
        <v>122</v>
      </c>
      <c r="AS16" s="17" t="s">
        <v>101</v>
      </c>
      <c r="AT16" s="17" t="s">
        <v>104</v>
      </c>
      <c r="AV16" s="17" t="s">
        <v>101</v>
      </c>
      <c r="AW16" s="17" t="s">
        <v>104</v>
      </c>
    </row>
    <row r="17" spans="1:49" x14ac:dyDescent="0.2">
      <c r="A17" s="8" t="s">
        <v>117</v>
      </c>
      <c r="B17" s="8">
        <v>286</v>
      </c>
      <c r="C17" s="50">
        <v>179.43699699999999</v>
      </c>
      <c r="D17" s="50">
        <f>C17*52</f>
        <v>9330.7238440000001</v>
      </c>
      <c r="E17" s="18">
        <v>178.49269190000001</v>
      </c>
      <c r="F17" s="50">
        <f>52*E17</f>
        <v>9281.6199788000013</v>
      </c>
      <c r="H17" s="18">
        <f>C17*52*B17</f>
        <v>2668587.019384</v>
      </c>
      <c r="I17" s="18">
        <f>F17*B17</f>
        <v>2654543.3139368002</v>
      </c>
      <c r="J17" s="51">
        <f>K17*F17</f>
        <v>0</v>
      </c>
      <c r="K17" s="43">
        <v>0</v>
      </c>
      <c r="L17" s="19">
        <f>B17*(F17-J17-Q17)</f>
        <v>2368543.3139368002</v>
      </c>
      <c r="M17" s="19">
        <f t="shared" ref="M17:M20" si="21">L17*$D$2</f>
        <v>55660.767877514809</v>
      </c>
      <c r="N17" s="19">
        <f>H17*$D$1</f>
        <v>52157.239749288143</v>
      </c>
      <c r="O17" s="19">
        <f t="shared" ref="O17:O20" si="22">M17-N17</f>
        <v>3503.528128226666</v>
      </c>
      <c r="Q17">
        <v>1000</v>
      </c>
      <c r="S17" s="23">
        <v>0</v>
      </c>
      <c r="T17" s="26">
        <f>S17/F17</f>
        <v>0</v>
      </c>
      <c r="U17">
        <v>185.63239949999999</v>
      </c>
      <c r="V17">
        <f>U17-$D$2*J17-Q17*$D$2</f>
        <v>162.13239949999999</v>
      </c>
      <c r="W17">
        <f>B17*V17</f>
        <v>46369.866256999994</v>
      </c>
      <c r="X17">
        <f t="shared" ref="X17:X20" si="23">W17/$W$23</f>
        <v>0.3731092872283388</v>
      </c>
      <c r="Y17">
        <f>X17</f>
        <v>0.3731092872283388</v>
      </c>
      <c r="Z17">
        <f>B17/$B$23</f>
        <v>0.18828176431863067</v>
      </c>
      <c r="AA17">
        <f>Z17</f>
        <v>0.18828176431863067</v>
      </c>
      <c r="AB17">
        <f>Y17*AA17</f>
        <v>7.0249674883018365E-2</v>
      </c>
      <c r="AC17" s="135">
        <f>1-AB23</f>
        <v>0.72217444904283323</v>
      </c>
      <c r="AD17">
        <f t="shared" ref="AD17:AD20" si="24">Y17*AA17</f>
        <v>7.0249674883018365E-2</v>
      </c>
      <c r="AF17">
        <f>N17/B17</f>
        <v>182.36797115135715</v>
      </c>
      <c r="AG17">
        <f>B17*AF17</f>
        <v>52157.239749288143</v>
      </c>
      <c r="AH17">
        <f>AG17/$AG$23</f>
        <v>0.27432259732756054</v>
      </c>
      <c r="AI17">
        <f>AH17</f>
        <v>0.27432259732756054</v>
      </c>
      <c r="AJ17">
        <f>B17/$B$23</f>
        <v>0.18828176431863067</v>
      </c>
      <c r="AK17">
        <f>AJ17</f>
        <v>0.18828176431863067</v>
      </c>
      <c r="AL17">
        <f>AI17*AK17</f>
        <v>5.1649942617302373E-2</v>
      </c>
      <c r="AM17" s="135">
        <f>1-AL23</f>
        <v>0.72589611768027518</v>
      </c>
      <c r="AN17">
        <f t="shared" ref="AN17:AN20" si="25">AI17*AK17</f>
        <v>5.1649942617302373E-2</v>
      </c>
      <c r="AS17">
        <f t="shared" si="11"/>
        <v>0.3731092872283388</v>
      </c>
      <c r="AT17">
        <f t="shared" si="12"/>
        <v>0.18828176431863067</v>
      </c>
      <c r="AV17">
        <f t="shared" si="13"/>
        <v>0.27432259732756054</v>
      </c>
      <c r="AW17">
        <f t="shared" si="14"/>
        <v>0.18828176431863067</v>
      </c>
    </row>
    <row r="18" spans="1:49" x14ac:dyDescent="0.2">
      <c r="A18" s="8" t="s">
        <v>119</v>
      </c>
      <c r="B18" s="8">
        <v>551</v>
      </c>
      <c r="C18" s="50">
        <v>131.273675</v>
      </c>
      <c r="D18" s="50">
        <f t="shared" ref="D18:D20" si="26">C18*52</f>
        <v>6826.2311</v>
      </c>
      <c r="E18" s="18">
        <v>130.8141985</v>
      </c>
      <c r="F18" s="50">
        <f>52*E18</f>
        <v>6802.3383220000005</v>
      </c>
      <c r="H18" s="18">
        <f>C18*52*B18</f>
        <v>3761253.3361</v>
      </c>
      <c r="I18" s="18">
        <f>F18*B18</f>
        <v>3748088.4154220005</v>
      </c>
      <c r="J18" s="51">
        <f t="shared" ref="J18:J20" si="27">K18*F18</f>
        <v>680.23383220000005</v>
      </c>
      <c r="K18" s="43">
        <v>0.1</v>
      </c>
      <c r="L18" s="19">
        <f>B18*(F18-J18-Q18)</f>
        <v>2822279.5738797998</v>
      </c>
      <c r="M18" s="19">
        <f t="shared" si="21"/>
        <v>66323.569986175295</v>
      </c>
      <c r="N18" s="19">
        <f t="shared" ref="N18:N20" si="28">H18*$D$1</f>
        <v>73513.282716207526</v>
      </c>
      <c r="O18" s="19">
        <f t="shared" si="22"/>
        <v>-7189.7127300322318</v>
      </c>
      <c r="Q18">
        <v>1000</v>
      </c>
      <c r="S18" s="23">
        <v>1000</v>
      </c>
      <c r="T18" s="26">
        <f t="shared" ref="T18:T20" si="29">S18/F18</f>
        <v>0.14700827166532102</v>
      </c>
      <c r="U18">
        <v>136.0467664</v>
      </c>
      <c r="V18">
        <f t="shared" ref="V18:V20" si="30">U18-$D$2*J18-Q18*$D$2</f>
        <v>96.561271343299993</v>
      </c>
      <c r="W18">
        <f>B18*V18</f>
        <v>53205.260510158296</v>
      </c>
      <c r="X18">
        <f t="shared" si="23"/>
        <v>0.42810942597330615</v>
      </c>
      <c r="Y18">
        <f>X18+Y17</f>
        <v>0.80121871320164495</v>
      </c>
      <c r="Z18">
        <f>B18/$B$23</f>
        <v>0.36273864384463461</v>
      </c>
      <c r="AA18">
        <f>Z18+AA17</f>
        <v>0.55102040816326525</v>
      </c>
      <c r="AB18">
        <f>(Y18-Y17)*(AA18-AA17)</f>
        <v>0.15529183259466206</v>
      </c>
      <c r="AC18" s="136"/>
      <c r="AD18">
        <f t="shared" si="24"/>
        <v>0.44148786237641657</v>
      </c>
      <c r="AF18">
        <f>N18/B18</f>
        <v>133.41793596407899</v>
      </c>
      <c r="AG18">
        <f>B18*AF18</f>
        <v>73513.282716207526</v>
      </c>
      <c r="AH18">
        <f t="shared" ref="AH18:AH20" si="31">AG18/$AG$23</f>
        <v>0.38664535833801572</v>
      </c>
      <c r="AI18">
        <f>AH18+AI17</f>
        <v>0.66096795566557631</v>
      </c>
      <c r="AJ18">
        <f>B18/$B$23</f>
        <v>0.36273864384463461</v>
      </c>
      <c r="AK18">
        <f>AJ18+AK17</f>
        <v>0.55102040816326525</v>
      </c>
      <c r="AL18">
        <f>(AI18-AI17)*(AK18-AK17)</f>
        <v>0.14025121293235462</v>
      </c>
      <c r="AM18" s="136"/>
      <c r="AN18">
        <f t="shared" si="25"/>
        <v>0.36420683271368487</v>
      </c>
      <c r="AS18">
        <f t="shared" si="11"/>
        <v>0.80121871320164495</v>
      </c>
      <c r="AT18">
        <f t="shared" si="12"/>
        <v>0.55102040816326525</v>
      </c>
      <c r="AV18">
        <f t="shared" si="13"/>
        <v>0.66096795566557631</v>
      </c>
      <c r="AW18">
        <f t="shared" si="14"/>
        <v>0.55102040816326525</v>
      </c>
    </row>
    <row r="19" spans="1:49" x14ac:dyDescent="0.2">
      <c r="A19" s="8" t="s">
        <v>120</v>
      </c>
      <c r="B19" s="8">
        <v>409</v>
      </c>
      <c r="C19" s="50">
        <v>108.666027</v>
      </c>
      <c r="D19" s="50">
        <f t="shared" si="26"/>
        <v>5650.6334040000002</v>
      </c>
      <c r="E19" s="18">
        <v>108.50508929999999</v>
      </c>
      <c r="F19" s="50">
        <f>52*E19</f>
        <v>5642.2646435999995</v>
      </c>
      <c r="H19" s="18">
        <f>C19*52*B19</f>
        <v>2311109.0622359999</v>
      </c>
      <c r="I19" s="18">
        <f>F19*B19</f>
        <v>2307686.2392324</v>
      </c>
      <c r="J19" s="51">
        <f t="shared" si="27"/>
        <v>1410.5661608999999</v>
      </c>
      <c r="K19" s="43">
        <v>0.25</v>
      </c>
      <c r="L19" s="19">
        <f>B19*(F19-J19-Q19)</f>
        <v>1321764.6794242999</v>
      </c>
      <c r="M19" s="19">
        <f t="shared" si="21"/>
        <v>31061.469966471046</v>
      </c>
      <c r="N19" s="19">
        <f t="shared" si="28"/>
        <v>45170.372399405765</v>
      </c>
      <c r="O19" s="19">
        <f t="shared" si="22"/>
        <v>-14108.902432934719</v>
      </c>
      <c r="Q19">
        <v>1000</v>
      </c>
      <c r="S19" s="23">
        <v>2000</v>
      </c>
      <c r="T19" s="26">
        <f t="shared" si="29"/>
        <v>0.35446759879804518</v>
      </c>
      <c r="U19">
        <v>112.8452929</v>
      </c>
      <c r="V19">
        <f t="shared" si="30"/>
        <v>56.196988118850015</v>
      </c>
      <c r="W19">
        <f>B19*V19</f>
        <v>22984.568140609656</v>
      </c>
      <c r="X19">
        <f t="shared" si="23"/>
        <v>0.18494243198080085</v>
      </c>
      <c r="Y19">
        <f t="shared" ref="Y19:Y20" si="32">X19+Y18</f>
        <v>0.9861611451824458</v>
      </c>
      <c r="Z19">
        <f>B19/$B$23</f>
        <v>0.26925608953258723</v>
      </c>
      <c r="AA19">
        <f t="shared" ref="AA19:AA20" si="33">Z19+AA18</f>
        <v>0.82027649769585254</v>
      </c>
      <c r="AB19">
        <f t="shared" ref="AB19:AB20" si="34">(Y19-Y18)*(AA19-AA18)</f>
        <v>4.9796876023796947E-2</v>
      </c>
      <c r="AC19" s="136"/>
      <c r="AD19">
        <f t="shared" si="24"/>
        <v>0.80892481033398778</v>
      </c>
      <c r="AF19">
        <f>N19/B19</f>
        <v>110.44100831150554</v>
      </c>
      <c r="AG19">
        <f>B19*AF19</f>
        <v>45170.372399405765</v>
      </c>
      <c r="AH19">
        <f t="shared" si="31"/>
        <v>0.23757495485614269</v>
      </c>
      <c r="AI19">
        <f t="shared" ref="AI19:AI20" si="35">AH19+AI18</f>
        <v>0.89854291052171897</v>
      </c>
      <c r="AJ19">
        <f>B19/$B$23</f>
        <v>0.26925608953258723</v>
      </c>
      <c r="AK19">
        <f t="shared" ref="AK19:AK20" si="36">AJ19+AK18</f>
        <v>0.82027649769585254</v>
      </c>
      <c r="AL19">
        <f t="shared" ref="AL19:AL20" si="37">(AI19-AI18)*(AK19-AK18)</f>
        <v>6.3968503315445929E-2</v>
      </c>
      <c r="AM19" s="136"/>
      <c r="AN19">
        <f t="shared" si="25"/>
        <v>0.7370536316721934</v>
      </c>
      <c r="AS19">
        <f t="shared" si="11"/>
        <v>0.9861611451824458</v>
      </c>
      <c r="AT19">
        <f t="shared" si="12"/>
        <v>0.82027649769585254</v>
      </c>
      <c r="AV19">
        <f t="shared" si="13"/>
        <v>0.89854291052171897</v>
      </c>
      <c r="AW19">
        <f t="shared" si="14"/>
        <v>0.82027649769585254</v>
      </c>
    </row>
    <row r="20" spans="1:49" x14ac:dyDescent="0.2">
      <c r="A20" s="8" t="s">
        <v>118</v>
      </c>
      <c r="B20" s="8">
        <v>273</v>
      </c>
      <c r="C20" s="50">
        <v>69.524231</v>
      </c>
      <c r="D20" s="50">
        <f t="shared" si="26"/>
        <v>3615.2600120000002</v>
      </c>
      <c r="E20" s="18">
        <v>69.463759249999995</v>
      </c>
      <c r="F20" s="50">
        <f>52*E20</f>
        <v>3612.1154809999998</v>
      </c>
      <c r="H20" s="18">
        <f>C20*52*B20</f>
        <v>986965.98327600001</v>
      </c>
      <c r="I20" s="18">
        <f>F20*B20</f>
        <v>986107.52631299989</v>
      </c>
      <c r="J20" s="51">
        <f t="shared" si="27"/>
        <v>1806.0577404999999</v>
      </c>
      <c r="K20" s="43">
        <v>0.5</v>
      </c>
      <c r="L20" s="19">
        <f>B20*(F20-J20-Q20)</f>
        <v>220053.76315649998</v>
      </c>
      <c r="M20" s="19">
        <f t="shared" si="21"/>
        <v>5171.2634341777493</v>
      </c>
      <c r="N20" s="19">
        <f t="shared" si="28"/>
        <v>19290.141576871258</v>
      </c>
      <c r="O20" s="19">
        <f t="shared" si="22"/>
        <v>-14118.878142693509</v>
      </c>
      <c r="Q20">
        <v>1000</v>
      </c>
      <c r="S20" s="23">
        <v>3000</v>
      </c>
      <c r="T20" s="26">
        <f t="shared" si="29"/>
        <v>0.83053823051345577</v>
      </c>
      <c r="U20">
        <v>72.24230962</v>
      </c>
      <c r="V20">
        <f t="shared" si="30"/>
        <v>6.2999527182500046</v>
      </c>
      <c r="W20">
        <f>B20*V20</f>
        <v>1719.8870920822512</v>
      </c>
      <c r="X20">
        <f t="shared" si="23"/>
        <v>1.3838854817554216E-2</v>
      </c>
      <c r="Y20">
        <f t="shared" si="32"/>
        <v>1</v>
      </c>
      <c r="Z20">
        <f>B20/$B$23</f>
        <v>0.17972350230414746</v>
      </c>
      <c r="AA20">
        <f t="shared" si="33"/>
        <v>1</v>
      </c>
      <c r="AB20">
        <f t="shared" si="34"/>
        <v>2.4871674556894651E-3</v>
      </c>
      <c r="AC20" s="136"/>
      <c r="AD20">
        <f t="shared" si="24"/>
        <v>1</v>
      </c>
      <c r="AF20">
        <f>N20/B20</f>
        <v>70.65985925593867</v>
      </c>
      <c r="AG20">
        <f>B20*AF20</f>
        <v>19290.141576871258</v>
      </c>
      <c r="AH20">
        <f t="shared" si="31"/>
        <v>0.10145708947828111</v>
      </c>
      <c r="AI20">
        <f t="shared" si="35"/>
        <v>1</v>
      </c>
      <c r="AJ20">
        <f>B20/$B$23</f>
        <v>0.17972350230414746</v>
      </c>
      <c r="AK20">
        <f t="shared" si="36"/>
        <v>1</v>
      </c>
      <c r="AL20">
        <f t="shared" si="37"/>
        <v>1.8234223454621935E-2</v>
      </c>
      <c r="AM20" s="136"/>
      <c r="AN20">
        <f t="shared" si="25"/>
        <v>1</v>
      </c>
      <c r="AS20">
        <f t="shared" si="11"/>
        <v>1</v>
      </c>
      <c r="AT20">
        <f t="shared" si="12"/>
        <v>1</v>
      </c>
      <c r="AV20">
        <f t="shared" si="13"/>
        <v>1</v>
      </c>
      <c r="AW20">
        <f t="shared" si="14"/>
        <v>1</v>
      </c>
    </row>
    <row r="21" spans="1:49" x14ac:dyDescent="0.2">
      <c r="A21" s="8"/>
      <c r="B21" s="8"/>
      <c r="C21" s="50"/>
      <c r="D21" s="50"/>
      <c r="E21" s="50"/>
      <c r="F21" s="50"/>
      <c r="I21" s="18"/>
      <c r="J21" s="52"/>
      <c r="K21" s="26"/>
      <c r="L21" s="18"/>
      <c r="M21" s="18"/>
      <c r="N21" s="18"/>
      <c r="O21" s="18"/>
      <c r="T21" s="26"/>
      <c r="AC21" s="60"/>
      <c r="AM21" s="60"/>
    </row>
    <row r="22" spans="1:49" x14ac:dyDescent="0.2">
      <c r="A22" s="8"/>
      <c r="B22" s="8"/>
      <c r="C22" s="50"/>
      <c r="D22" s="50"/>
      <c r="E22" s="50"/>
      <c r="F22" s="50"/>
      <c r="I22" s="18"/>
      <c r="J22" s="52"/>
      <c r="K22" s="26"/>
      <c r="L22" s="18"/>
      <c r="M22" s="18"/>
      <c r="N22" s="18"/>
      <c r="O22" s="18"/>
      <c r="T22" s="26"/>
      <c r="AC22" s="60"/>
      <c r="AM22" s="60"/>
    </row>
    <row r="23" spans="1:49" s="16" customFormat="1" x14ac:dyDescent="0.2">
      <c r="B23" s="16">
        <f>SUM(B17:B22)</f>
        <v>1519</v>
      </c>
      <c r="C23" s="19"/>
      <c r="D23" s="19"/>
      <c r="E23" s="19">
        <f>SUM(E17:E20)/4</f>
        <v>121.81893473750002</v>
      </c>
      <c r="F23" s="19">
        <f>SUM(F17:F22)</f>
        <v>25338.338425400001</v>
      </c>
      <c r="H23" s="19">
        <f>SUM(H17:H22)</f>
        <v>9727915.4009959996</v>
      </c>
      <c r="I23" s="19">
        <f>SUM(I17:I22)</f>
        <v>9696425.4949041996</v>
      </c>
      <c r="J23" s="51">
        <f>SUM(J17:J22)</f>
        <v>3896.8577335999998</v>
      </c>
      <c r="K23" s="22"/>
      <c r="L23" s="19">
        <f>SUM(L17:L22)</f>
        <v>6732641.3303974001</v>
      </c>
      <c r="M23" s="19">
        <f>L23*$D$2</f>
        <v>158217.07126433891</v>
      </c>
      <c r="N23" s="19">
        <f>I23*$D$1</f>
        <v>189515.56969109812</v>
      </c>
      <c r="O23" s="19">
        <f>M23-N23</f>
        <v>-31298.498426759208</v>
      </c>
      <c r="Q23" s="16">
        <f>SUM(Q17:Q22)</f>
        <v>4000</v>
      </c>
      <c r="S23" s="25">
        <f>SUM(S17:S22)</f>
        <v>6000</v>
      </c>
      <c r="T23" s="22"/>
      <c r="W23" s="16">
        <f>SUM(W17:W22)</f>
        <v>124279.5819998502</v>
      </c>
      <c r="AB23" s="16">
        <f>SUM(AB17:AB22)</f>
        <v>0.27782555095716682</v>
      </c>
      <c r="AC23" s="60"/>
      <c r="AG23" s="16">
        <f>SUM(AG17:AG22)</f>
        <v>190131.03644177268</v>
      </c>
      <c r="AL23" s="16">
        <f>SUM(AL17:AL22)</f>
        <v>0.27410388231972488</v>
      </c>
      <c r="AM23" s="60"/>
      <c r="AS23"/>
      <c r="AT23"/>
      <c r="AU23"/>
      <c r="AV23"/>
      <c r="AW23"/>
    </row>
    <row r="24" spans="1:49" x14ac:dyDescent="0.2">
      <c r="C24" s="18"/>
      <c r="D24" s="18"/>
      <c r="E24" s="18"/>
      <c r="F24" s="18"/>
      <c r="I24" s="18"/>
      <c r="J24" s="52"/>
      <c r="L24" s="18"/>
      <c r="M24" s="18"/>
      <c r="N24" s="18"/>
      <c r="O24" s="18"/>
    </row>
    <row r="25" spans="1:49" x14ac:dyDescent="0.2">
      <c r="A25" s="11" t="s">
        <v>134</v>
      </c>
      <c r="C25" s="18"/>
      <c r="D25" s="18"/>
      <c r="E25" s="18"/>
      <c r="F25" s="18"/>
      <c r="J25" s="52"/>
      <c r="L25" s="18"/>
      <c r="M25" s="18"/>
      <c r="N25" s="18"/>
      <c r="O25" s="18"/>
      <c r="S25" s="25"/>
      <c r="AS25" t="s">
        <v>160</v>
      </c>
      <c r="AV25" t="s">
        <v>161</v>
      </c>
    </row>
    <row r="26" spans="1:49" ht="48" x14ac:dyDescent="0.2">
      <c r="A26" s="35" t="s">
        <v>25</v>
      </c>
      <c r="B26" s="17" t="s">
        <v>144</v>
      </c>
      <c r="C26" s="17" t="s">
        <v>145</v>
      </c>
      <c r="D26" s="54" t="s">
        <v>146</v>
      </c>
      <c r="E26" s="17" t="s">
        <v>162</v>
      </c>
      <c r="F26" s="54" t="s">
        <v>124</v>
      </c>
      <c r="G26" s="33"/>
      <c r="H26" s="35" t="s">
        <v>114</v>
      </c>
      <c r="I26" s="36" t="s">
        <v>115</v>
      </c>
      <c r="J26" s="57" t="s">
        <v>81</v>
      </c>
      <c r="K26" s="21" t="s">
        <v>167</v>
      </c>
      <c r="L26" s="56" t="s">
        <v>83</v>
      </c>
      <c r="M26" s="56" t="s">
        <v>84</v>
      </c>
      <c r="N26" s="56" t="s">
        <v>85</v>
      </c>
      <c r="O26" s="56" t="s">
        <v>86</v>
      </c>
      <c r="P26" s="38"/>
      <c r="Q26" s="36" t="s">
        <v>111</v>
      </c>
      <c r="R26" s="33"/>
      <c r="S26" s="39" t="s">
        <v>90</v>
      </c>
      <c r="T26" s="37" t="s">
        <v>87</v>
      </c>
      <c r="U26" s="33"/>
      <c r="V26" s="35" t="s">
        <v>100</v>
      </c>
      <c r="W26" s="36" t="s">
        <v>105</v>
      </c>
      <c r="X26" s="36" t="s">
        <v>102</v>
      </c>
      <c r="Y26" s="36" t="s">
        <v>101</v>
      </c>
      <c r="Z26" s="36" t="s">
        <v>103</v>
      </c>
      <c r="AA26" s="36" t="s">
        <v>104</v>
      </c>
      <c r="AB26" s="33"/>
      <c r="AC26" s="35" t="s">
        <v>106</v>
      </c>
      <c r="AD26" s="33"/>
      <c r="AE26" s="33"/>
      <c r="AF26" s="35" t="s">
        <v>100</v>
      </c>
      <c r="AG26" s="36" t="s">
        <v>105</v>
      </c>
      <c r="AH26" s="36" t="s">
        <v>102</v>
      </c>
      <c r="AI26" s="36" t="s">
        <v>101</v>
      </c>
      <c r="AJ26" s="36" t="s">
        <v>103</v>
      </c>
      <c r="AK26" s="36" t="s">
        <v>104</v>
      </c>
      <c r="AL26" s="33"/>
      <c r="AM26" s="35" t="s">
        <v>106</v>
      </c>
      <c r="AN26" s="33"/>
      <c r="AR26" t="s">
        <v>134</v>
      </c>
      <c r="AS26" s="17" t="s">
        <v>101</v>
      </c>
      <c r="AT26" s="17" t="s">
        <v>104</v>
      </c>
      <c r="AV26" s="17" t="s">
        <v>101</v>
      </c>
      <c r="AW26" s="17" t="s">
        <v>104</v>
      </c>
    </row>
    <row r="27" spans="1:49" x14ac:dyDescent="0.2">
      <c r="A27" s="40" t="s">
        <v>117</v>
      </c>
      <c r="B27" s="41">
        <f>(B7+B17)</f>
        <v>3287</v>
      </c>
      <c r="C27" s="58">
        <f>(C7*B7+C17*B17)/B27</f>
        <v>162.18256444539091</v>
      </c>
      <c r="D27" s="50">
        <f>C27*52</f>
        <v>8433.4933511603267</v>
      </c>
      <c r="E27" s="58">
        <f>(E7*B7+E17*B17)/B27</f>
        <v>160.03924188700944</v>
      </c>
      <c r="F27" s="50">
        <f>52*E27</f>
        <v>8322.0405781244917</v>
      </c>
      <c r="G27" s="33"/>
      <c r="H27" s="42">
        <f>C27*52*B27</f>
        <v>27720892.645263992</v>
      </c>
      <c r="I27" s="42">
        <f>F27*B27</f>
        <v>27354547.380295206</v>
      </c>
      <c r="J27" s="59">
        <f>K27*F27</f>
        <v>0</v>
      </c>
      <c r="K27" s="43">
        <v>0</v>
      </c>
      <c r="L27" s="45">
        <f>B27*(F27-J27-Q27)-B17*Q17</f>
        <v>27068547.380295206</v>
      </c>
      <c r="M27" s="45">
        <f>M7+M17</f>
        <v>636110.86343693733</v>
      </c>
      <c r="N27" s="45">
        <f>H27*$D$1</f>
        <v>541801.79745349369</v>
      </c>
      <c r="O27" s="45">
        <f t="shared" ref="O27:O30" si="38">M27-N27</f>
        <v>94309.065983443637</v>
      </c>
      <c r="P27" s="33"/>
      <c r="Q27" s="33"/>
      <c r="R27" s="33"/>
      <c r="S27" s="32">
        <v>0</v>
      </c>
      <c r="T27" s="43">
        <v>0</v>
      </c>
      <c r="U27" s="33"/>
      <c r="V27">
        <f>(V7*B7+V17*B17)/B27</f>
        <v>164.39608995442651</v>
      </c>
      <c r="W27">
        <f>B27*V27</f>
        <v>540369.94768019998</v>
      </c>
      <c r="X27">
        <f>W27/$W$33</f>
        <v>0.39894505295286903</v>
      </c>
      <c r="Y27">
        <f>X27</f>
        <v>0.39894505295286903</v>
      </c>
      <c r="Z27">
        <f>B27/$B$33</f>
        <v>0.21737980292308709</v>
      </c>
      <c r="AA27">
        <f>Z27</f>
        <v>0.21737980292308709</v>
      </c>
      <c r="AB27">
        <f>Y27*AA27</f>
        <v>8.6722596988035208E-2</v>
      </c>
      <c r="AC27" s="135">
        <f>1-AB33</f>
        <v>0.71907051341777528</v>
      </c>
      <c r="AD27">
        <f t="shared" ref="AD27:AD30" si="39">Y27*AA27</f>
        <v>8.6722596988035208E-2</v>
      </c>
      <c r="AF27">
        <f>N27/B27</f>
        <v>164.83169986415993</v>
      </c>
      <c r="AG27">
        <f>B27*AF27</f>
        <v>541801.79745349369</v>
      </c>
      <c r="AH27">
        <f>AG27/$AG$33</f>
        <v>0.33026943990239915</v>
      </c>
      <c r="AI27">
        <f>AH27</f>
        <v>0.33026943990239915</v>
      </c>
      <c r="AJ27">
        <f>B27/$B$33</f>
        <v>0.21737980292308709</v>
      </c>
      <c r="AK27">
        <f>AJ27</f>
        <v>0.21737980292308709</v>
      </c>
      <c r="AL27">
        <f>AI27*AK27</f>
        <v>7.1793905757501886E-2</v>
      </c>
      <c r="AM27" s="135">
        <f>1-AL33</f>
        <v>0.72465213025903807</v>
      </c>
      <c r="AN27" s="33">
        <v>7.4485270000000006E-2</v>
      </c>
      <c r="AS27">
        <f t="shared" si="11"/>
        <v>0.39894505295286903</v>
      </c>
      <c r="AT27">
        <f t="shared" si="12"/>
        <v>0.21737980292308709</v>
      </c>
      <c r="AV27">
        <f t="shared" si="13"/>
        <v>0.33026943990239915</v>
      </c>
      <c r="AW27">
        <f t="shared" si="14"/>
        <v>0.21737980292308709</v>
      </c>
    </row>
    <row r="28" spans="1:49" x14ac:dyDescent="0.2">
      <c r="A28" s="40" t="s">
        <v>119</v>
      </c>
      <c r="B28" s="41">
        <f t="shared" ref="B28:B30" si="40">(B8+B18)</f>
        <v>5604</v>
      </c>
      <c r="C28" s="58">
        <f t="shared" ref="C28:C30" si="41">(C8*B8+C18*B18)/B28</f>
        <v>108.04522425392578</v>
      </c>
      <c r="D28" s="50">
        <f t="shared" ref="D28:D30" si="42">C28*52</f>
        <v>5618.3516612041403</v>
      </c>
      <c r="E28" s="58">
        <f>(E8*B8+E18*B18)/B28</f>
        <v>106.8714703171663</v>
      </c>
      <c r="F28" s="50">
        <f>52*E28</f>
        <v>5557.3164564926474</v>
      </c>
      <c r="G28" s="33"/>
      <c r="H28" s="42">
        <f>C28*52*B28</f>
        <v>31485242.709388003</v>
      </c>
      <c r="I28" s="42">
        <f>F28*B28</f>
        <v>31143201.422184795</v>
      </c>
      <c r="J28" s="59">
        <f t="shared" ref="J28:J30" si="43">K28*F28</f>
        <v>555.73164564926481</v>
      </c>
      <c r="K28" s="43">
        <v>0.1</v>
      </c>
      <c r="L28" s="45">
        <f t="shared" ref="L28:L30" si="44">B28*(F28-J28-Q28)-B18*Q18</f>
        <v>27477881.279966317</v>
      </c>
      <c r="M28" s="45">
        <f t="shared" ref="M28:M30" si="45">M8+M18</f>
        <v>645730.21007920837</v>
      </c>
      <c r="N28" s="45">
        <f t="shared" ref="N28:N30" si="46">H28*$D$1</f>
        <v>615375.60537829041</v>
      </c>
      <c r="O28" s="45">
        <f t="shared" si="38"/>
        <v>30354.60470091796</v>
      </c>
      <c r="P28" s="33"/>
      <c r="Q28" s="33"/>
      <c r="R28" s="33"/>
      <c r="S28" s="32">
        <v>500</v>
      </c>
      <c r="T28" s="43">
        <v>0.09</v>
      </c>
      <c r="U28" s="33"/>
      <c r="V28">
        <f>(V8*B8+V18*B18)/B28</f>
        <v>95.776053678937501</v>
      </c>
      <c r="W28">
        <f>B28*V28</f>
        <v>536729.00481676578</v>
      </c>
      <c r="X28">
        <f t="shared" ref="X28:X30" si="47">W28/$W$33</f>
        <v>0.39625701275062086</v>
      </c>
      <c r="Y28">
        <f>X28+Y27</f>
        <v>0.79520206570348995</v>
      </c>
      <c r="Z28">
        <f>B28/$B$33</f>
        <v>0.37061040936446005</v>
      </c>
      <c r="AA28">
        <f>Z28+AA27</f>
        <v>0.58799021228754711</v>
      </c>
      <c r="AB28">
        <f>(Y28-Y27)*(AA28-AA27)</f>
        <v>0.14685697370904566</v>
      </c>
      <c r="AC28" s="136"/>
      <c r="AD28">
        <f t="shared" si="39"/>
        <v>0.46757103142449102</v>
      </c>
      <c r="AF28">
        <f>N28/B28</f>
        <v>109.81006519955218</v>
      </c>
      <c r="AG28">
        <f>B28*AF28</f>
        <v>615375.60537829041</v>
      </c>
      <c r="AH28">
        <f t="shared" ref="AH28:AH30" si="48">AG28/$AG$33</f>
        <v>0.37511827659695635</v>
      </c>
      <c r="AI28">
        <f>AH28+AI27</f>
        <v>0.7053877164993555</v>
      </c>
      <c r="AJ28">
        <f>B28/$B$33</f>
        <v>0.37061040936446005</v>
      </c>
      <c r="AK28">
        <f>AJ28+AK27</f>
        <v>0.58799021228754711</v>
      </c>
      <c r="AL28">
        <f>(AI28-AI27)*(AK28-AK27)</f>
        <v>0.13902273804968873</v>
      </c>
      <c r="AM28" s="136"/>
      <c r="AN28" s="33">
        <v>0.42112131000000003</v>
      </c>
      <c r="AS28">
        <f t="shared" si="11"/>
        <v>0.79520206570348995</v>
      </c>
      <c r="AT28">
        <f t="shared" si="12"/>
        <v>0.58799021228754711</v>
      </c>
      <c r="AV28">
        <f t="shared" si="13"/>
        <v>0.7053877164993555</v>
      </c>
      <c r="AW28">
        <f t="shared" si="14"/>
        <v>0.58799021228754711</v>
      </c>
    </row>
    <row r="29" spans="1:49" x14ac:dyDescent="0.2">
      <c r="A29" s="40" t="s">
        <v>120</v>
      </c>
      <c r="B29" s="41">
        <f t="shared" si="40"/>
        <v>3867</v>
      </c>
      <c r="C29" s="58">
        <f t="shared" si="41"/>
        <v>77.600195579260415</v>
      </c>
      <c r="D29" s="50">
        <f t="shared" si="42"/>
        <v>4035.2101701215415</v>
      </c>
      <c r="E29" s="58">
        <f>(E9*B9+E19*B19)/B29</f>
        <v>76.958608863527274</v>
      </c>
      <c r="F29" s="50">
        <f>52*E29</f>
        <v>4001.8476609034183</v>
      </c>
      <c r="G29" s="33"/>
      <c r="H29" s="42">
        <f>C29*52*B29</f>
        <v>15604157.727860002</v>
      </c>
      <c r="I29" s="42">
        <f>F29*B29</f>
        <v>15475144.904713519</v>
      </c>
      <c r="J29" s="59">
        <f t="shared" si="43"/>
        <v>1000.4619152258546</v>
      </c>
      <c r="K29" s="43">
        <v>0.25</v>
      </c>
      <c r="L29" s="45">
        <f t="shared" si="44"/>
        <v>11197358.678535139</v>
      </c>
      <c r="M29" s="45">
        <f t="shared" si="45"/>
        <v>263137.92894557578</v>
      </c>
      <c r="N29" s="45">
        <f t="shared" si="46"/>
        <v>304981.54633367364</v>
      </c>
      <c r="O29" s="45">
        <f t="shared" si="38"/>
        <v>-41843.61738809786</v>
      </c>
      <c r="P29" s="33"/>
      <c r="Q29" s="33"/>
      <c r="R29" s="33"/>
      <c r="S29" s="32">
        <v>1000</v>
      </c>
      <c r="T29" s="43">
        <v>0.26</v>
      </c>
      <c r="U29" s="33"/>
      <c r="V29">
        <f>(V9*B9+V19*B19)/B29</f>
        <v>54.040579729875382</v>
      </c>
      <c r="W29">
        <f>B29*V29</f>
        <v>208974.9218154281</v>
      </c>
      <c r="X29">
        <f t="shared" si="47"/>
        <v>0.15428228680625503</v>
      </c>
      <c r="Y29">
        <f t="shared" ref="Y29:Y30" si="49">X29+Y28</f>
        <v>0.94948435250974494</v>
      </c>
      <c r="Z29">
        <f>B29/$B$33</f>
        <v>0.25573705442761724</v>
      </c>
      <c r="AA29">
        <f t="shared" ref="AA29:AA30" si="50">Z29+AA28</f>
        <v>0.84372726671516429</v>
      </c>
      <c r="AB29">
        <f t="shared" ref="AB29:AB30" si="51">(Y29-Y28)*(AA29-AA28)</f>
        <v>3.9455697578188481E-2</v>
      </c>
      <c r="AC29" s="136"/>
      <c r="AD29">
        <f t="shared" si="39"/>
        <v>0.8011058375318646</v>
      </c>
      <c r="AF29">
        <f>N29/B29</f>
        <v>78.867738901906819</v>
      </c>
      <c r="AG29">
        <f>B29*AF29</f>
        <v>304981.54633367364</v>
      </c>
      <c r="AH29">
        <f t="shared" si="48"/>
        <v>0.18590946903758832</v>
      </c>
      <c r="AI29">
        <f t="shared" ref="AI29:AI30" si="52">AH29+AI28</f>
        <v>0.89129718553694381</v>
      </c>
      <c r="AJ29">
        <f>B29/$B$33</f>
        <v>0.25573705442761724</v>
      </c>
      <c r="AK29">
        <f t="shared" ref="AK29:AK30" si="53">AJ29+AK28</f>
        <v>0.84372726671516429</v>
      </c>
      <c r="AL29">
        <f t="shared" ref="AL29:AL30" si="54">(AI29-AI28)*(AK29-AK28)</f>
        <v>4.7543940001875132E-2</v>
      </c>
      <c r="AM29" s="136"/>
      <c r="AN29" s="33">
        <v>0.75354200999999998</v>
      </c>
      <c r="AS29">
        <f t="shared" si="11"/>
        <v>0.94948435250974494</v>
      </c>
      <c r="AT29">
        <f t="shared" si="12"/>
        <v>0.84372726671516429</v>
      </c>
      <c r="AV29">
        <f t="shared" si="13"/>
        <v>0.89129718553694381</v>
      </c>
      <c r="AW29">
        <f t="shared" si="14"/>
        <v>0.84372726671516429</v>
      </c>
    </row>
    <row r="30" spans="1:49" x14ac:dyDescent="0.2">
      <c r="A30" s="40" t="s">
        <v>118</v>
      </c>
      <c r="B30" s="41">
        <f t="shared" si="40"/>
        <v>2363</v>
      </c>
      <c r="C30" s="58">
        <f t="shared" si="41"/>
        <v>74.252750305966998</v>
      </c>
      <c r="D30" s="50">
        <f t="shared" si="42"/>
        <v>3861.1430159102838</v>
      </c>
      <c r="E30" s="58">
        <f>(E10*B10+E20*B20)/B30</f>
        <v>73.825400601629283</v>
      </c>
      <c r="F30" s="50">
        <f>52*E30</f>
        <v>3838.9208312847227</v>
      </c>
      <c r="G30" s="33"/>
      <c r="H30" s="42">
        <f>C30*52*B30</f>
        <v>9123880.9465960003</v>
      </c>
      <c r="I30" s="42">
        <f>F30*B30</f>
        <v>9071369.9243257996</v>
      </c>
      <c r="J30" s="59">
        <f t="shared" si="43"/>
        <v>1919.4604156423613</v>
      </c>
      <c r="K30" s="43">
        <v>0.5</v>
      </c>
      <c r="L30" s="45">
        <f t="shared" si="44"/>
        <v>4262684.9621628998</v>
      </c>
      <c r="M30" s="45">
        <f t="shared" si="45"/>
        <v>100173.09661082814</v>
      </c>
      <c r="N30" s="45">
        <f t="shared" si="46"/>
        <v>178325.24947431468</v>
      </c>
      <c r="O30" s="45">
        <f t="shared" si="38"/>
        <v>-78152.152863486539</v>
      </c>
      <c r="P30" s="33"/>
      <c r="Q30" s="33"/>
      <c r="R30" s="33"/>
      <c r="S30" s="32">
        <v>2000</v>
      </c>
      <c r="T30" s="43">
        <v>0.51</v>
      </c>
      <c r="U30" s="33"/>
      <c r="V30">
        <f>(V10*B10+V20*B20)/B30</f>
        <v>28.956115903102777</v>
      </c>
      <c r="W30">
        <f>B30*V30</f>
        <v>68423.30187903186</v>
      </c>
      <c r="X30">
        <f t="shared" si="47"/>
        <v>5.0515647490254979E-2</v>
      </c>
      <c r="Y30">
        <f t="shared" si="49"/>
        <v>0.99999999999999989</v>
      </c>
      <c r="Z30">
        <f>B30/$B$33</f>
        <v>0.15627273328483565</v>
      </c>
      <c r="AA30">
        <f t="shared" si="50"/>
        <v>1</v>
      </c>
      <c r="AB30">
        <f t="shared" si="51"/>
        <v>7.8942183069553914E-3</v>
      </c>
      <c r="AC30" s="136"/>
      <c r="AD30">
        <f t="shared" si="39"/>
        <v>0.99999999999999989</v>
      </c>
      <c r="AF30">
        <f>N30/B30</f>
        <v>75.465615520234735</v>
      </c>
      <c r="AG30">
        <f>B30*AF30</f>
        <v>178325.24947431468</v>
      </c>
      <c r="AH30">
        <f t="shared" si="48"/>
        <v>0.10870281446305624</v>
      </c>
      <c r="AI30">
        <f t="shared" si="52"/>
        <v>1</v>
      </c>
      <c r="AJ30">
        <f>B30/$B$33</f>
        <v>0.15627273328483565</v>
      </c>
      <c r="AK30">
        <f t="shared" si="53"/>
        <v>1</v>
      </c>
      <c r="AL30">
        <f t="shared" si="54"/>
        <v>1.6987285931896162E-2</v>
      </c>
      <c r="AM30" s="136"/>
      <c r="AN30" s="33">
        <v>1</v>
      </c>
      <c r="AS30">
        <f t="shared" si="11"/>
        <v>0.99999999999999989</v>
      </c>
      <c r="AT30">
        <f t="shared" si="12"/>
        <v>1</v>
      </c>
      <c r="AV30">
        <f t="shared" si="13"/>
        <v>1</v>
      </c>
      <c r="AW30">
        <f t="shared" si="14"/>
        <v>1</v>
      </c>
    </row>
    <row r="31" spans="1:49" x14ac:dyDescent="0.2">
      <c r="A31" s="8"/>
      <c r="B31" s="8"/>
      <c r="C31" s="8"/>
      <c r="D31" s="8"/>
      <c r="E31" s="8"/>
      <c r="F31" s="8"/>
      <c r="AC31" s="60"/>
      <c r="AM31" s="60"/>
    </row>
    <row r="32" spans="1:49" x14ac:dyDescent="0.2">
      <c r="A32" s="8"/>
      <c r="B32" s="8"/>
      <c r="C32" s="8"/>
      <c r="D32" s="8"/>
      <c r="E32" s="8"/>
      <c r="F32" s="8"/>
      <c r="AC32" s="60"/>
      <c r="AM32" s="60"/>
    </row>
    <row r="33" spans="2:39" s="16" customFormat="1" x14ac:dyDescent="0.2">
      <c r="B33" s="16">
        <f>SUM(B27:B32)</f>
        <v>15121</v>
      </c>
      <c r="E33" s="16">
        <f>SUM(E27:E30)/4</f>
        <v>104.42368041733307</v>
      </c>
      <c r="F33" s="19">
        <f>SUM(F27:F32)</f>
        <v>21720.125526805281</v>
      </c>
      <c r="G33" s="19"/>
      <c r="H33" s="19">
        <f>SUM(H27:H32)</f>
        <v>83934174.029107988</v>
      </c>
      <c r="I33" s="19">
        <f>SUM(I27:I32)</f>
        <v>83044263.631519318</v>
      </c>
      <c r="J33" s="51">
        <f>SUM(J27:J32)</f>
        <v>3475.6539765174807</v>
      </c>
      <c r="K33" s="22"/>
      <c r="L33" s="19">
        <f>SUM(L27:L30)</f>
        <v>70006472.300959572</v>
      </c>
      <c r="M33" s="16">
        <f>L33*$D$2</f>
        <v>1645152.09907255</v>
      </c>
      <c r="N33" s="19">
        <f>I33*$D$1</f>
        <v>1623090.9978090455</v>
      </c>
      <c r="O33" s="19">
        <f>M33-N33</f>
        <v>22061.101263504475</v>
      </c>
      <c r="Q33" s="16">
        <f>SUM(Q27:Q32)</f>
        <v>0</v>
      </c>
      <c r="S33" s="25"/>
      <c r="T33" s="22"/>
      <c r="W33" s="16">
        <f>SUM(W27:W32)</f>
        <v>1354497.1761914259</v>
      </c>
      <c r="AB33" s="16">
        <f>SUM(AB27:AB32)</f>
        <v>0.28092948658222477</v>
      </c>
      <c r="AC33" s="60"/>
      <c r="AG33" s="16">
        <f>SUM(AG27:AG32)</f>
        <v>1640484.1986397724</v>
      </c>
      <c r="AL33" s="16">
        <f>SUM(AL27:AL32)</f>
        <v>0.27534786974096193</v>
      </c>
      <c r="AM33" s="60"/>
    </row>
  </sheetData>
  <mergeCells count="7">
    <mergeCell ref="AC27:AC30"/>
    <mergeCell ref="AM27:AM30"/>
    <mergeCell ref="O1:O3"/>
    <mergeCell ref="AC7:AC10"/>
    <mergeCell ref="AM7:AM10"/>
    <mergeCell ref="AC17:AC20"/>
    <mergeCell ref="AM17:AM20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83D3-DEE6-3E4E-A97B-CAADB3EBBF1B}">
  <sheetPr>
    <pageSetUpPr fitToPage="1"/>
  </sheetPr>
  <dimension ref="B1:O44"/>
  <sheetViews>
    <sheetView zoomScale="150" workbookViewId="0">
      <selection activeCell="E4" sqref="E4"/>
    </sheetView>
  </sheetViews>
  <sheetFormatPr baseColWidth="10" defaultRowHeight="15" x14ac:dyDescent="0.2"/>
  <cols>
    <col min="1" max="1" width="10.83203125" style="62"/>
    <col min="2" max="7" width="10.83203125" style="62" customWidth="1"/>
    <col min="8" max="8" width="13" style="62" bestFit="1" customWidth="1"/>
    <col min="9" max="15" width="10.83203125" style="62" customWidth="1"/>
    <col min="16" max="16384" width="10.83203125" style="62"/>
  </cols>
  <sheetData>
    <row r="1" spans="2:15" ht="16" thickBot="1" x14ac:dyDescent="0.25"/>
    <row r="2" spans="2:15" ht="33" thickBot="1" x14ac:dyDescent="0.25">
      <c r="C2" s="65"/>
      <c r="D2" s="74" t="s">
        <v>156</v>
      </c>
      <c r="E2" s="71" t="s">
        <v>164</v>
      </c>
      <c r="G2" s="70"/>
      <c r="H2" s="68" t="s">
        <v>121</v>
      </c>
      <c r="I2" s="75" t="s">
        <v>122</v>
      </c>
      <c r="J2" s="69" t="s">
        <v>134</v>
      </c>
    </row>
    <row r="3" spans="2:15" ht="16" thickBot="1" x14ac:dyDescent="0.25">
      <c r="C3" s="66" t="s">
        <v>152</v>
      </c>
      <c r="D3" s="89">
        <f>'Translog Model (NEW)'!D1</f>
        <v>1.9544889999999999E-2</v>
      </c>
      <c r="E3" s="90">
        <f>ROUNDUP('Translog Model (NEW)'!N33,-3)</f>
        <v>1624000</v>
      </c>
      <c r="F3" s="91"/>
      <c r="G3" s="66" t="s">
        <v>113</v>
      </c>
      <c r="H3" s="94">
        <f>'Translog Model (NEW)'!P1</f>
        <v>0.72433365137756445</v>
      </c>
      <c r="I3" s="95">
        <f>'Translog Model (NEW)'!P2</f>
        <v>0.72589611768027518</v>
      </c>
      <c r="J3" s="96">
        <f>'Translog Model (NEW)'!P3</f>
        <v>0.72465213025903807</v>
      </c>
    </row>
    <row r="4" spans="2:15" ht="16" thickBot="1" x14ac:dyDescent="0.25">
      <c r="C4" s="70" t="s">
        <v>153</v>
      </c>
      <c r="D4" s="92">
        <f>'Translog Model (NEW)'!D2</f>
        <v>2.35E-2</v>
      </c>
      <c r="E4" s="93">
        <f>ROUNDUP('Translog Model (NEW)'!M33,-3)</f>
        <v>1646000</v>
      </c>
      <c r="G4" s="70" t="s">
        <v>106</v>
      </c>
      <c r="H4" s="97">
        <f>'Translog Model (NEW)'!N1</f>
        <v>0.71862867339136405</v>
      </c>
      <c r="I4" s="98">
        <f>'Translog Model (NEW)'!N2</f>
        <v>0.72217444904283323</v>
      </c>
      <c r="J4" s="99">
        <f>'Translog Model (NEW)'!N3</f>
        <v>0.71907051341777528</v>
      </c>
    </row>
    <row r="5" spans="2:15" ht="16" thickBot="1" x14ac:dyDescent="0.25">
      <c r="C5" s="67" t="s">
        <v>157</v>
      </c>
      <c r="D5" s="84">
        <f>(D4-D3)/D3</f>
        <v>0.20236031003500154</v>
      </c>
      <c r="E5" s="83">
        <f>(E4-E3)/E3</f>
        <v>1.3546798029556651E-2</v>
      </c>
      <c r="G5" s="67" t="s">
        <v>157</v>
      </c>
      <c r="H5" s="81">
        <f>(H4-H3)/H3</f>
        <v>-7.8761741572415719E-3</v>
      </c>
      <c r="I5" s="85">
        <f t="shared" ref="I5:J5" si="0">(I4-I3)/I3</f>
        <v>-5.1269989559045593E-3</v>
      </c>
      <c r="J5" s="82">
        <f t="shared" si="0"/>
        <v>-7.7024776554062684E-3</v>
      </c>
    </row>
    <row r="6" spans="2:15" x14ac:dyDescent="0.2">
      <c r="G6" s="61"/>
      <c r="J6" s="61"/>
    </row>
    <row r="7" spans="2:15" x14ac:dyDescent="0.2">
      <c r="G7" s="61"/>
      <c r="J7" s="61"/>
    </row>
    <row r="8" spans="2:15" ht="16" customHeight="1" x14ac:dyDescent="0.2">
      <c r="B8" s="130"/>
      <c r="C8" s="129" t="s">
        <v>139</v>
      </c>
      <c r="D8" s="129" t="s">
        <v>144</v>
      </c>
      <c r="E8" s="129" t="s">
        <v>154</v>
      </c>
      <c r="F8" s="129" t="s">
        <v>167</v>
      </c>
      <c r="G8" s="123" t="s">
        <v>149</v>
      </c>
      <c r="H8" s="123"/>
      <c r="I8" s="129" t="s">
        <v>159</v>
      </c>
      <c r="J8" s="129" t="s">
        <v>84</v>
      </c>
      <c r="K8" s="129" t="s">
        <v>85</v>
      </c>
      <c r="L8" s="129" t="s">
        <v>150</v>
      </c>
      <c r="M8" s="129" t="s">
        <v>100</v>
      </c>
      <c r="N8" s="129" t="s">
        <v>155</v>
      </c>
      <c r="O8" s="129" t="s">
        <v>151</v>
      </c>
    </row>
    <row r="9" spans="2:15" ht="45" customHeight="1" x14ac:dyDescent="0.2">
      <c r="B9" s="130"/>
      <c r="C9" s="129"/>
      <c r="D9" s="129"/>
      <c r="E9" s="129"/>
      <c r="F9" s="129"/>
      <c r="G9" s="17" t="s">
        <v>166</v>
      </c>
      <c r="H9" s="17" t="s">
        <v>165</v>
      </c>
      <c r="I9" s="129"/>
      <c r="J9" s="129"/>
      <c r="K9" s="129"/>
      <c r="L9" s="129"/>
      <c r="M9" s="129"/>
      <c r="N9" s="129"/>
      <c r="O9" s="129"/>
    </row>
    <row r="10" spans="2:15" x14ac:dyDescent="0.2">
      <c r="B10" s="130" t="s">
        <v>121</v>
      </c>
      <c r="C10" s="100" t="s">
        <v>140</v>
      </c>
      <c r="D10" s="100">
        <f>'Translog Model (NEW)'!B7</f>
        <v>3001</v>
      </c>
      <c r="E10" s="101">
        <f>'Translog Model (NEW)'!F7</f>
        <v>8230.5911584000005</v>
      </c>
      <c r="F10" s="102">
        <f>'Translog Model (NEW)'!K7</f>
        <v>0</v>
      </c>
      <c r="G10" s="101">
        <f>'Translog Model (NEW)'!J7</f>
        <v>0</v>
      </c>
      <c r="H10" s="147">
        <f>'X-Old Income Group'!Q7</f>
        <v>0</v>
      </c>
      <c r="I10" s="101">
        <f>'Translog Model (NEW)'!L7</f>
        <v>24700004.066358402</v>
      </c>
      <c r="J10" s="101">
        <f>'Translog Model (NEW)'!M7</f>
        <v>580450.09555942251</v>
      </c>
      <c r="K10" s="101">
        <f>'Translog Model (NEW)'!N7</f>
        <v>489644.55770420568</v>
      </c>
      <c r="L10" s="101">
        <f>'Translog Model (NEW)'!O7</f>
        <v>90805.537855216826</v>
      </c>
      <c r="M10" s="101">
        <f>'Translog Model (NEW)'!V7</f>
        <v>164.6118232</v>
      </c>
      <c r="N10" s="131">
        <f>'Translog Model (NEW)'!AC7</f>
        <v>0.71862867339136405</v>
      </c>
      <c r="O10" s="133">
        <f>'Translog Model (NEW)'!AM7</f>
        <v>0.72433365137756445</v>
      </c>
    </row>
    <row r="11" spans="2:15" x14ac:dyDescent="0.2">
      <c r="B11" s="130"/>
      <c r="C11" s="100" t="s">
        <v>141</v>
      </c>
      <c r="D11" s="100">
        <f>'Translog Model (NEW)'!B8</f>
        <v>5053</v>
      </c>
      <c r="E11" s="101">
        <f>'Translog Model (NEW)'!F8</f>
        <v>5421.5541275999994</v>
      </c>
      <c r="F11" s="102">
        <f>'Translog Model (NEW)'!K8</f>
        <v>0.1</v>
      </c>
      <c r="G11" s="101">
        <f>'Translog Model (NEW)'!J8</f>
        <v>542.15541275999999</v>
      </c>
      <c r="H11" s="147"/>
      <c r="I11" s="101">
        <f>'Translog Model (NEW)'!L8</f>
        <v>24655601.706086516</v>
      </c>
      <c r="J11" s="101">
        <f>'Translog Model (NEW)'!M8</f>
        <v>579406.64009303309</v>
      </c>
      <c r="K11" s="101">
        <f>'Translog Model (NEW)'!N8</f>
        <v>541862.32266208285</v>
      </c>
      <c r="L11" s="101">
        <f>'Translog Model (NEW)'!O8</f>
        <v>37544.317430950236</v>
      </c>
      <c r="M11" s="101">
        <f>'Translog Model (NEW)'!V8</f>
        <v>95.690430300140008</v>
      </c>
      <c r="N11" s="131"/>
      <c r="O11" s="133"/>
    </row>
    <row r="12" spans="2:15" x14ac:dyDescent="0.2">
      <c r="B12" s="130"/>
      <c r="C12" s="100" t="s">
        <v>143</v>
      </c>
      <c r="D12" s="100">
        <f>'Translog Model (NEW)'!B9</f>
        <v>3458</v>
      </c>
      <c r="E12" s="101">
        <f>'Translog Model (NEW)'!F9</f>
        <v>3807.8249466399998</v>
      </c>
      <c r="F12" s="102">
        <f>'Translog Model (NEW)'!K9</f>
        <v>0.25</v>
      </c>
      <c r="G12" s="101">
        <f>'Translog Model (NEW)'!J9</f>
        <v>951.95623665999995</v>
      </c>
      <c r="H12" s="147"/>
      <c r="I12" s="101">
        <f>'Translog Model (NEW)'!L9</f>
        <v>9875593.9991108403</v>
      </c>
      <c r="J12" s="101">
        <f>'Translog Model (NEW)'!M9</f>
        <v>232076.45897910473</v>
      </c>
      <c r="K12" s="101">
        <f>'Translog Model (NEW)'!N9</f>
        <v>259811.17393426783</v>
      </c>
      <c r="L12" s="101">
        <f>'Translog Model (NEW)'!O9</f>
        <v>-27734.714955163101</v>
      </c>
      <c r="M12" s="101">
        <f>'Translog Model (NEW)'!V9</f>
        <v>53.785527378490002</v>
      </c>
      <c r="N12" s="131"/>
      <c r="O12" s="133"/>
    </row>
    <row r="13" spans="2:15" x14ac:dyDescent="0.2">
      <c r="B13" s="130"/>
      <c r="C13" s="100" t="s">
        <v>142</v>
      </c>
      <c r="D13" s="100">
        <f>'Translog Model (NEW)'!B10</f>
        <v>2090</v>
      </c>
      <c r="E13" s="101">
        <f>'Translog Model (NEW)'!F10</f>
        <v>3868.5466019199998</v>
      </c>
      <c r="F13" s="102">
        <f>'Translog Model (NEW)'!K10</f>
        <v>0.5</v>
      </c>
      <c r="G13" s="101">
        <f>'Translog Model (NEW)'!J10</f>
        <v>1934.2733009599999</v>
      </c>
      <c r="H13" s="147"/>
      <c r="I13" s="101">
        <f>'Translog Model (NEW)'!L10</f>
        <v>4042631.1990063996</v>
      </c>
      <c r="J13" s="101">
        <f>'Translog Model (NEW)'!M10</f>
        <v>95001.833176650398</v>
      </c>
      <c r="K13" s="101">
        <f>'Translog Model (NEW)'!N10</f>
        <v>159035.10789744343</v>
      </c>
      <c r="L13" s="101">
        <f>'Translog Model (NEW)'!O10</f>
        <v>-64033.274720793037</v>
      </c>
      <c r="M13" s="101">
        <f>'Translog Model (NEW)'!V10</f>
        <v>31.915509467440003</v>
      </c>
      <c r="N13" s="131"/>
      <c r="O13" s="133"/>
    </row>
    <row r="14" spans="2:15" x14ac:dyDescent="0.2">
      <c r="B14" s="130"/>
      <c r="C14" s="103" t="s">
        <v>134</v>
      </c>
      <c r="D14" s="104">
        <f>'X-Old Income Group'!B13</f>
        <v>13602</v>
      </c>
      <c r="E14" s="105">
        <f>'X-Old Income Group'!F13</f>
        <v>21376.82105988</v>
      </c>
      <c r="F14" s="106"/>
      <c r="G14" s="105">
        <f>'X-Old Income Group'!J13</f>
        <v>2305.4578827539999</v>
      </c>
      <c r="H14" s="104"/>
      <c r="I14" s="105">
        <f>'X-Old Income Group'!L13</f>
        <v>65914101.17954199</v>
      </c>
      <c r="J14" s="105">
        <f>'X-Old Income Group'!M13</f>
        <v>1483067.2765396948</v>
      </c>
      <c r="K14" s="105">
        <f>'X-Old Income Group'!N13</f>
        <v>1436564.9889322126</v>
      </c>
      <c r="L14" s="105">
        <f>'X-Old Income Group'!O13</f>
        <v>46502.287607482169</v>
      </c>
      <c r="M14" s="103"/>
      <c r="N14" s="131"/>
      <c r="O14" s="133"/>
    </row>
    <row r="15" spans="2:15" x14ac:dyDescent="0.2">
      <c r="B15" s="130" t="s">
        <v>122</v>
      </c>
      <c r="C15" s="100" t="s">
        <v>140</v>
      </c>
      <c r="D15" s="100">
        <f>'Translog Model (NEW)'!B17</f>
        <v>286</v>
      </c>
      <c r="E15" s="101">
        <f>'Translog Model (NEW)'!F17</f>
        <v>9281.6199788000013</v>
      </c>
      <c r="F15" s="102">
        <f>'Translog Model (NEW)'!K17</f>
        <v>0</v>
      </c>
      <c r="G15" s="101">
        <f>'Translog Model (NEW)'!J17</f>
        <v>0</v>
      </c>
      <c r="H15" s="130">
        <f>'X-Old Income Group'!Q17</f>
        <v>1000</v>
      </c>
      <c r="I15" s="101">
        <f>'Translog Model (NEW)'!L17</f>
        <v>2368543.3139368002</v>
      </c>
      <c r="J15" s="101">
        <f>'Translog Model (NEW)'!M17</f>
        <v>55660.767877514809</v>
      </c>
      <c r="K15" s="101">
        <f>'Translog Model (NEW)'!N17</f>
        <v>52157.239749288143</v>
      </c>
      <c r="L15" s="101">
        <f>'Translog Model (NEW)'!O17</f>
        <v>3503.528128226666</v>
      </c>
      <c r="M15" s="101">
        <f>'Translog Model (NEW)'!V17</f>
        <v>162.13239949999999</v>
      </c>
      <c r="N15" s="131">
        <f>'Translog Model (NEW)'!N2</f>
        <v>0.72217444904283323</v>
      </c>
      <c r="O15" s="131">
        <f>'Translog Model (NEW)'!P2</f>
        <v>0.72589611768027518</v>
      </c>
    </row>
    <row r="16" spans="2:15" x14ac:dyDescent="0.2">
      <c r="B16" s="130"/>
      <c r="C16" s="100" t="s">
        <v>141</v>
      </c>
      <c r="D16" s="100">
        <f>'Translog Model (NEW)'!B18</f>
        <v>551</v>
      </c>
      <c r="E16" s="101">
        <f>'Translog Model (NEW)'!F18</f>
        <v>6802.3383220000005</v>
      </c>
      <c r="F16" s="102">
        <f>'Translog Model (NEW)'!K18</f>
        <v>0.1</v>
      </c>
      <c r="G16" s="101">
        <f>'Translog Model (NEW)'!J18</f>
        <v>680.23383220000005</v>
      </c>
      <c r="H16" s="130"/>
      <c r="I16" s="101">
        <f>'X-Old Income Group'!L18</f>
        <v>2833454.8483907199</v>
      </c>
      <c r="J16" s="101">
        <f>'X-Old Income Group'!M18</f>
        <v>63752.734088791192</v>
      </c>
      <c r="K16" s="101">
        <f>'X-Old Income Group'!N18</f>
        <v>73513.282716207526</v>
      </c>
      <c r="L16" s="101">
        <f>'X-Old Income Group'!O18</f>
        <v>-9760.5486274163341</v>
      </c>
      <c r="M16" s="101">
        <f>'X-Old Income Group'!V18</f>
        <v>135.814842</v>
      </c>
      <c r="N16" s="131"/>
      <c r="O16" s="131"/>
    </row>
    <row r="17" spans="2:15" x14ac:dyDescent="0.2">
      <c r="B17" s="130"/>
      <c r="C17" s="100" t="s">
        <v>143</v>
      </c>
      <c r="D17" s="100">
        <f>'Translog Model (NEW)'!B19</f>
        <v>409</v>
      </c>
      <c r="E17" s="101">
        <f>'Translog Model (NEW)'!F19</f>
        <v>5642.2646435999995</v>
      </c>
      <c r="F17" s="102">
        <f>'Translog Model (NEW)'!K19</f>
        <v>0.25</v>
      </c>
      <c r="G17" s="101">
        <f>'Translog Model (NEW)'!J19</f>
        <v>1410.5661608999999</v>
      </c>
      <c r="H17" s="130"/>
      <c r="I17" s="101">
        <f>'X-Old Income Group'!L19</f>
        <v>1559042.0814618201</v>
      </c>
      <c r="J17" s="101">
        <f>'X-Old Income Group'!M19</f>
        <v>35078.44683289095</v>
      </c>
      <c r="K17" s="101">
        <f>'X-Old Income Group'!N19</f>
        <v>45170.372399405765</v>
      </c>
      <c r="L17" s="101">
        <f>'X-Old Income Group'!O19</f>
        <v>-10091.925566514816</v>
      </c>
      <c r="M17" s="101">
        <f>'X-Old Income Group'!V19</f>
        <v>118.43664800000001</v>
      </c>
      <c r="N17" s="131"/>
      <c r="O17" s="131"/>
    </row>
    <row r="18" spans="2:15" x14ac:dyDescent="0.2">
      <c r="B18" s="130"/>
      <c r="C18" s="100" t="s">
        <v>142</v>
      </c>
      <c r="D18" s="100">
        <f>'Translog Model (NEW)'!B20</f>
        <v>273</v>
      </c>
      <c r="E18" s="101">
        <f>'Translog Model (NEW)'!F20</f>
        <v>3612.1154809999998</v>
      </c>
      <c r="F18" s="102">
        <f>'Translog Model (NEW)'!K20</f>
        <v>0.5</v>
      </c>
      <c r="G18" s="101">
        <f>'Translog Model (NEW)'!J20</f>
        <v>1806.0577404999999</v>
      </c>
      <c r="H18" s="130"/>
      <c r="I18" s="101">
        <f>'X-Old Income Group'!L20</f>
        <v>520444.34302223992</v>
      </c>
      <c r="J18" s="101">
        <f>'X-Old Income Group'!M20</f>
        <v>11709.997718000397</v>
      </c>
      <c r="K18" s="101">
        <f>'X-Old Income Group'!N20</f>
        <v>19290.141576871258</v>
      </c>
      <c r="L18" s="101">
        <f>'X-Old Income Group'!O20</f>
        <v>-7580.1438588708606</v>
      </c>
      <c r="M18" s="101">
        <f>'X-Old Income Group'!V20</f>
        <v>81.562025399999996</v>
      </c>
      <c r="N18" s="131"/>
      <c r="O18" s="131"/>
    </row>
    <row r="19" spans="2:15" x14ac:dyDescent="0.2">
      <c r="B19" s="130"/>
      <c r="C19" s="103" t="s">
        <v>134</v>
      </c>
      <c r="D19" s="104">
        <f>'X-Old Income Group'!B23</f>
        <v>1519</v>
      </c>
      <c r="E19" s="105">
        <f>'X-Old Income Group'!F23</f>
        <v>25431.561248599999</v>
      </c>
      <c r="F19" s="106"/>
      <c r="G19" s="105">
        <f>'X-Old Income Group'!J23</f>
        <v>2723.8684691399999</v>
      </c>
      <c r="H19" s="104"/>
      <c r="I19" s="105">
        <f>'X-Old Income Group'!L23</f>
        <v>7157205.6151604597</v>
      </c>
      <c r="J19" s="105">
        <f>'X-Old Income Group'!M23</f>
        <v>161037.12634111033</v>
      </c>
      <c r="K19" s="105">
        <f>'X-Old Income Group'!N23</f>
        <v>190193.09517921845</v>
      </c>
      <c r="L19" s="105">
        <f>'X-Old Income Group'!O23</f>
        <v>-29155.968838108121</v>
      </c>
      <c r="M19" s="107"/>
      <c r="N19" s="131"/>
      <c r="O19" s="131"/>
    </row>
    <row r="20" spans="2:15" x14ac:dyDescent="0.2">
      <c r="B20" s="130" t="s">
        <v>134</v>
      </c>
      <c r="C20" s="100" t="s">
        <v>140</v>
      </c>
      <c r="D20" s="100">
        <f>'Translog Model (NEW)'!B27</f>
        <v>3287</v>
      </c>
      <c r="E20" s="101">
        <f>'Translog Model (NEW)'!F27</f>
        <v>8322.0405781244917</v>
      </c>
      <c r="F20" s="102">
        <f>'Translog Model (NEW)'!K27</f>
        <v>0</v>
      </c>
      <c r="G20" s="101">
        <f>'Translog Model (NEW)'!J27</f>
        <v>0</v>
      </c>
      <c r="H20" s="130" t="s">
        <v>158</v>
      </c>
      <c r="I20" s="101">
        <f>'Translog Model (NEW)'!L27</f>
        <v>27068547.380295206</v>
      </c>
      <c r="J20" s="101">
        <f>'Translog Model (NEW)'!M27</f>
        <v>636110.86343693733</v>
      </c>
      <c r="K20" s="101">
        <f>'Translog Model (NEW)'!N27</f>
        <v>541801.79745349369</v>
      </c>
      <c r="L20" s="101">
        <f>'Translog Model (NEW)'!O27</f>
        <v>94309.065983443637</v>
      </c>
      <c r="M20" s="101">
        <f>'X-Old Income Group'!V27</f>
        <v>116.06740105567388</v>
      </c>
      <c r="N20" s="131">
        <f>'Translog Model (NEW)'!N3</f>
        <v>0.71907051341777528</v>
      </c>
      <c r="O20" s="131">
        <f>'Translog Model (NEW)'!P3</f>
        <v>0.72465213025903807</v>
      </c>
    </row>
    <row r="21" spans="2:15" x14ac:dyDescent="0.2">
      <c r="B21" s="130"/>
      <c r="C21" s="100" t="s">
        <v>141</v>
      </c>
      <c r="D21" s="100">
        <f>'Translog Model (NEW)'!B28</f>
        <v>5604</v>
      </c>
      <c r="E21" s="101">
        <f>'Translog Model (NEW)'!F28</f>
        <v>5557.3164564926474</v>
      </c>
      <c r="F21" s="102">
        <f>'Translog Model (NEW)'!K28</f>
        <v>0.1</v>
      </c>
      <c r="G21" s="101">
        <f>'Translog Model (NEW)'!J28</f>
        <v>555.73164564926481</v>
      </c>
      <c r="H21" s="130"/>
      <c r="I21" s="101">
        <f>'Translog Model (NEW)'!L28</f>
        <v>27477881.279966317</v>
      </c>
      <c r="J21" s="101">
        <f>'Translog Model (NEW)'!M28</f>
        <v>645730.21007920837</v>
      </c>
      <c r="K21" s="101">
        <f>'Translog Model (NEW)'!N28</f>
        <v>615375.60537829041</v>
      </c>
      <c r="L21" s="101">
        <f>'Translog Model (NEW)'!O28</f>
        <v>30354.60470091796</v>
      </c>
      <c r="M21" s="101">
        <f>'X-Old Income Group'!V28</f>
        <v>86.367924598001437</v>
      </c>
      <c r="N21" s="131"/>
      <c r="O21" s="131"/>
    </row>
    <row r="22" spans="2:15" x14ac:dyDescent="0.2">
      <c r="B22" s="130"/>
      <c r="C22" s="100" t="s">
        <v>143</v>
      </c>
      <c r="D22" s="100">
        <f>'Translog Model (NEW)'!B29</f>
        <v>3867</v>
      </c>
      <c r="E22" s="101">
        <f>'Translog Model (NEW)'!F29</f>
        <v>4001.8476609034183</v>
      </c>
      <c r="F22" s="102">
        <f>'Translog Model (NEW)'!K29</f>
        <v>0.25</v>
      </c>
      <c r="G22" s="101">
        <f>'Translog Model (NEW)'!J29</f>
        <v>1000.4619152258546</v>
      </c>
      <c r="H22" s="130"/>
      <c r="I22" s="101">
        <f>'Translog Model (NEW)'!L29</f>
        <v>11197358.678535139</v>
      </c>
      <c r="J22" s="101">
        <f>'Translog Model (NEW)'!M29</f>
        <v>263137.92894557578</v>
      </c>
      <c r="K22" s="101">
        <f>'Translog Model (NEW)'!N29</f>
        <v>304981.54633367364</v>
      </c>
      <c r="L22" s="101">
        <f>'Translog Model (NEW)'!O29</f>
        <v>-41843.61738809786</v>
      </c>
      <c r="M22" s="101">
        <f>'X-Old Income Group'!V29</f>
        <v>69.723741281561928</v>
      </c>
      <c r="N22" s="131"/>
      <c r="O22" s="131"/>
    </row>
    <row r="23" spans="2:15" x14ac:dyDescent="0.2">
      <c r="B23" s="130"/>
      <c r="C23" s="100" t="s">
        <v>142</v>
      </c>
      <c r="D23" s="100">
        <f>'Translog Model (NEW)'!B30</f>
        <v>2363</v>
      </c>
      <c r="E23" s="101">
        <f>'Translog Model (NEW)'!F30</f>
        <v>3838.9208312847227</v>
      </c>
      <c r="F23" s="102">
        <f>'Translog Model (NEW)'!K30</f>
        <v>0.5</v>
      </c>
      <c r="G23" s="101">
        <f>'Translog Model (NEW)'!J30</f>
        <v>1919.4604156423613</v>
      </c>
      <c r="H23" s="130"/>
      <c r="I23" s="101">
        <f>'Translog Model (NEW)'!L30</f>
        <v>4262684.9621628998</v>
      </c>
      <c r="J23" s="101">
        <f>'Translog Model (NEW)'!M30</f>
        <v>100173.09661082814</v>
      </c>
      <c r="K23" s="101">
        <f>'Translog Model (NEW)'!N30</f>
        <v>178325.24947431468</v>
      </c>
      <c r="L23" s="101">
        <f>'Translog Model (NEW)'!O30</f>
        <v>-78152.152863486539</v>
      </c>
      <c r="M23" s="101">
        <f>'X-Old Income Group'!V30</f>
        <v>75.633103759289057</v>
      </c>
      <c r="N23" s="131"/>
      <c r="O23" s="131"/>
    </row>
    <row r="24" spans="2:15" x14ac:dyDescent="0.2">
      <c r="B24" s="130"/>
      <c r="C24" s="103" t="s">
        <v>134</v>
      </c>
      <c r="D24" s="104">
        <f>'X-Old Income Group'!B33</f>
        <v>15121</v>
      </c>
      <c r="E24" s="105">
        <f>'X-Old Income Group'!F33</f>
        <v>21772.67401440562</v>
      </c>
      <c r="F24" s="104"/>
      <c r="G24" s="105">
        <f>'X-Old Income Group'!J23</f>
        <v>2723.8684691399999</v>
      </c>
      <c r="H24" s="104"/>
      <c r="I24" s="105">
        <f>'X-Old Income Group'!L33</f>
        <v>74590306.794702455</v>
      </c>
      <c r="J24" s="105">
        <f>'X-Old Income Group'!M33</f>
        <v>1678281.9028808051</v>
      </c>
      <c r="K24" s="105">
        <f>'X-Old Income Group'!N33</f>
        <v>1626758.0841114307</v>
      </c>
      <c r="L24" s="105">
        <f>'X-Old Income Group'!O33</f>
        <v>51523.818769374397</v>
      </c>
      <c r="M24" s="103"/>
      <c r="N24" s="131"/>
      <c r="O24" s="131"/>
    </row>
    <row r="28" spans="2:15" x14ac:dyDescent="0.2">
      <c r="B28" s="130"/>
      <c r="C28" s="129" t="s">
        <v>139</v>
      </c>
      <c r="D28" s="129" t="s">
        <v>144</v>
      </c>
      <c r="E28" s="129" t="s">
        <v>154</v>
      </c>
      <c r="F28" s="129" t="s">
        <v>167</v>
      </c>
      <c r="G28" s="123" t="s">
        <v>149</v>
      </c>
      <c r="H28" s="123"/>
      <c r="I28" s="129" t="s">
        <v>159</v>
      </c>
      <c r="J28" s="129" t="s">
        <v>84</v>
      </c>
      <c r="K28" s="129" t="s">
        <v>85</v>
      </c>
      <c r="L28" s="129" t="s">
        <v>150</v>
      </c>
      <c r="M28" s="129" t="s">
        <v>100</v>
      </c>
      <c r="N28" s="129" t="s">
        <v>155</v>
      </c>
      <c r="O28" s="129" t="s">
        <v>151</v>
      </c>
    </row>
    <row r="29" spans="2:15" ht="48" x14ac:dyDescent="0.2">
      <c r="B29" s="130"/>
      <c r="C29" s="129"/>
      <c r="D29" s="129"/>
      <c r="E29" s="129"/>
      <c r="F29" s="129"/>
      <c r="G29" s="17" t="s">
        <v>166</v>
      </c>
      <c r="H29" s="17" t="s">
        <v>165</v>
      </c>
      <c r="I29" s="129"/>
      <c r="J29" s="129"/>
      <c r="K29" s="129"/>
      <c r="L29" s="129"/>
      <c r="M29" s="129"/>
      <c r="N29" s="129"/>
      <c r="O29" s="129"/>
    </row>
    <row r="30" spans="2:15" x14ac:dyDescent="0.2">
      <c r="B30" s="130" t="s">
        <v>121</v>
      </c>
      <c r="C30" s="100" t="s">
        <v>140</v>
      </c>
      <c r="D30" s="100">
        <v>3001</v>
      </c>
      <c r="E30" s="101">
        <v>8230.5911584000005</v>
      </c>
      <c r="F30" s="102">
        <v>0</v>
      </c>
      <c r="G30" s="101">
        <v>0</v>
      </c>
      <c r="H30" s="141">
        <v>0</v>
      </c>
      <c r="I30" s="101">
        <v>24700004.066358402</v>
      </c>
      <c r="J30" s="101">
        <v>555750.09149306407</v>
      </c>
      <c r="K30" s="101">
        <v>489644.55770420568</v>
      </c>
      <c r="L30" s="101">
        <v>66105.533788858389</v>
      </c>
      <c r="M30" s="101">
        <v>164.6118232</v>
      </c>
      <c r="N30" s="120">
        <v>0.72281586848698365</v>
      </c>
      <c r="O30" s="144">
        <v>0.72433365137756445</v>
      </c>
    </row>
    <row r="31" spans="2:15" x14ac:dyDescent="0.2">
      <c r="B31" s="130"/>
      <c r="C31" s="100" t="s">
        <v>141</v>
      </c>
      <c r="D31" s="100">
        <v>5053</v>
      </c>
      <c r="E31" s="101">
        <v>5421.5541275999994</v>
      </c>
      <c r="F31" s="102">
        <v>0.1</v>
      </c>
      <c r="G31" s="101">
        <v>542.15541275999999</v>
      </c>
      <c r="H31" s="142"/>
      <c r="I31" s="101">
        <v>24655601.706086516</v>
      </c>
      <c r="J31" s="101">
        <v>554751.03838694654</v>
      </c>
      <c r="K31" s="101">
        <v>541862.32266208285</v>
      </c>
      <c r="L31" s="101">
        <v>12888.715724863694</v>
      </c>
      <c r="M31" s="101">
        <v>96.232585712900004</v>
      </c>
      <c r="N31" s="121"/>
      <c r="O31" s="145"/>
    </row>
    <row r="32" spans="2:15" x14ac:dyDescent="0.2">
      <c r="B32" s="130"/>
      <c r="C32" s="100" t="s">
        <v>143</v>
      </c>
      <c r="D32" s="100">
        <v>3458</v>
      </c>
      <c r="E32" s="101">
        <v>3807.8249466399998</v>
      </c>
      <c r="F32" s="102">
        <v>0.2</v>
      </c>
      <c r="G32" s="101">
        <v>761.56498932800002</v>
      </c>
      <c r="H32" s="142"/>
      <c r="I32" s="101">
        <v>10533966.932384895</v>
      </c>
      <c r="J32" s="101">
        <v>237014.25597866013</v>
      </c>
      <c r="K32" s="101">
        <v>259811.17393426783</v>
      </c>
      <c r="L32" s="101">
        <v>-22796.9179556077</v>
      </c>
      <c r="M32" s="101">
        <v>59.021286680120006</v>
      </c>
      <c r="N32" s="121"/>
      <c r="O32" s="145"/>
    </row>
    <row r="33" spans="2:15" x14ac:dyDescent="0.2">
      <c r="B33" s="130"/>
      <c r="C33" s="100" t="s">
        <v>142</v>
      </c>
      <c r="D33" s="100">
        <v>2090</v>
      </c>
      <c r="E33" s="101">
        <v>3868.5466019199998</v>
      </c>
      <c r="F33" s="102">
        <v>0.3</v>
      </c>
      <c r="G33" s="101">
        <v>1160.5639805759999</v>
      </c>
      <c r="H33" s="143"/>
      <c r="I33" s="101">
        <v>5659683.6786089605</v>
      </c>
      <c r="J33" s="101">
        <v>127342.8827687016</v>
      </c>
      <c r="K33" s="101">
        <v>159035.10789744343</v>
      </c>
      <c r="L33" s="101">
        <v>-31692.225128741833</v>
      </c>
      <c r="M33" s="101">
        <v>51.25824247704</v>
      </c>
      <c r="N33" s="121"/>
      <c r="O33" s="145"/>
    </row>
    <row r="34" spans="2:15" x14ac:dyDescent="0.2">
      <c r="B34" s="130"/>
      <c r="C34" s="103" t="s">
        <v>134</v>
      </c>
      <c r="D34" s="104">
        <v>13602</v>
      </c>
      <c r="E34" s="105">
        <v>21376.82105988</v>
      </c>
      <c r="F34" s="106"/>
      <c r="G34" s="105">
        <v>2305.4578827539999</v>
      </c>
      <c r="H34" s="104"/>
      <c r="I34" s="105">
        <v>65914101.17954199</v>
      </c>
      <c r="J34" s="105">
        <v>1483067.2765396948</v>
      </c>
      <c r="K34" s="105">
        <v>1436564.9889322126</v>
      </c>
      <c r="L34" s="105">
        <v>46502.287607482169</v>
      </c>
      <c r="M34" s="103"/>
      <c r="N34" s="122"/>
      <c r="O34" s="146"/>
    </row>
    <row r="35" spans="2:15" x14ac:dyDescent="0.2">
      <c r="B35" s="130" t="s">
        <v>122</v>
      </c>
      <c r="C35" s="100" t="s">
        <v>140</v>
      </c>
      <c r="D35" s="100">
        <v>286</v>
      </c>
      <c r="E35" s="101">
        <v>9281.6199788000013</v>
      </c>
      <c r="F35" s="102">
        <v>0</v>
      </c>
      <c r="G35" s="101">
        <v>0</v>
      </c>
      <c r="H35" s="138">
        <v>1000</v>
      </c>
      <c r="I35" s="101">
        <v>2368543.3139368002</v>
      </c>
      <c r="J35" s="101">
        <v>53292.224563578005</v>
      </c>
      <c r="K35" s="101">
        <v>52157.239749288143</v>
      </c>
      <c r="L35" s="101">
        <v>1134.9848142898627</v>
      </c>
      <c r="M35" s="101">
        <v>163.13239949999999</v>
      </c>
      <c r="N35" s="120">
        <v>0.73339532939787244</v>
      </c>
      <c r="O35" s="120">
        <v>0.72589611768027518</v>
      </c>
    </row>
    <row r="36" spans="2:15" x14ac:dyDescent="0.2">
      <c r="B36" s="130"/>
      <c r="C36" s="100" t="s">
        <v>141</v>
      </c>
      <c r="D36" s="100">
        <v>551</v>
      </c>
      <c r="E36" s="101">
        <v>6802.3383220000005</v>
      </c>
      <c r="F36" s="102">
        <v>0.1</v>
      </c>
      <c r="G36" s="101">
        <v>680.23383220000005</v>
      </c>
      <c r="H36" s="139"/>
      <c r="I36" s="101">
        <v>2833454.8483907199</v>
      </c>
      <c r="J36" s="101">
        <v>63752.734088791192</v>
      </c>
      <c r="K36" s="101">
        <v>73513.282716207526</v>
      </c>
      <c r="L36" s="101">
        <v>-9760.5486274163341</v>
      </c>
      <c r="M36" s="101">
        <v>135.814842</v>
      </c>
      <c r="N36" s="121"/>
      <c r="O36" s="121"/>
    </row>
    <row r="37" spans="2:15" x14ac:dyDescent="0.2">
      <c r="B37" s="130"/>
      <c r="C37" s="100" t="s">
        <v>143</v>
      </c>
      <c r="D37" s="100">
        <v>409</v>
      </c>
      <c r="E37" s="101">
        <v>5642.2646435999995</v>
      </c>
      <c r="F37" s="102">
        <v>0.2</v>
      </c>
      <c r="G37" s="101">
        <v>1128.45292872</v>
      </c>
      <c r="H37" s="139"/>
      <c r="I37" s="101">
        <v>1559042.0814618201</v>
      </c>
      <c r="J37" s="101">
        <v>35078.44683289095</v>
      </c>
      <c r="K37" s="101">
        <v>45170.372399405765</v>
      </c>
      <c r="L37" s="101">
        <v>-10091.925566514816</v>
      </c>
      <c r="M37" s="101">
        <v>118.43664800000001</v>
      </c>
      <c r="N37" s="121"/>
      <c r="O37" s="121"/>
    </row>
    <row r="38" spans="2:15" x14ac:dyDescent="0.2">
      <c r="B38" s="130"/>
      <c r="C38" s="100" t="s">
        <v>142</v>
      </c>
      <c r="D38" s="100">
        <v>273</v>
      </c>
      <c r="E38" s="101">
        <v>3612.1154809999998</v>
      </c>
      <c r="F38" s="102">
        <v>0.3</v>
      </c>
      <c r="G38" s="101">
        <v>1083.6346443</v>
      </c>
      <c r="H38" s="140"/>
      <c r="I38" s="101">
        <v>520444.34302223992</v>
      </c>
      <c r="J38" s="101">
        <v>11709.997718000397</v>
      </c>
      <c r="K38" s="101">
        <v>19290.141576871258</v>
      </c>
      <c r="L38" s="101">
        <v>-7580.1438588708606</v>
      </c>
      <c r="M38" s="101">
        <v>81.562025399999996</v>
      </c>
      <c r="N38" s="121"/>
      <c r="O38" s="121"/>
    </row>
    <row r="39" spans="2:15" x14ac:dyDescent="0.2">
      <c r="B39" s="130"/>
      <c r="C39" s="103" t="s">
        <v>134</v>
      </c>
      <c r="D39" s="104">
        <v>1519</v>
      </c>
      <c r="E39" s="105">
        <v>25431.561248599999</v>
      </c>
      <c r="F39" s="106"/>
      <c r="G39" s="105">
        <v>2723.8684691399999</v>
      </c>
      <c r="H39" s="104"/>
      <c r="I39" s="105">
        <v>7157205.6151604597</v>
      </c>
      <c r="J39" s="105">
        <v>161037.12634111033</v>
      </c>
      <c r="K39" s="105">
        <v>190193.09517921845</v>
      </c>
      <c r="L39" s="105">
        <v>-29155.968838108121</v>
      </c>
      <c r="M39" s="107"/>
      <c r="N39" s="122"/>
      <c r="O39" s="122"/>
    </row>
    <row r="40" spans="2:15" x14ac:dyDescent="0.2">
      <c r="B40" s="130" t="s">
        <v>134</v>
      </c>
      <c r="C40" s="100" t="s">
        <v>140</v>
      </c>
      <c r="D40" s="100">
        <v>3287</v>
      </c>
      <c r="E40" s="101">
        <v>8322.0405781244917</v>
      </c>
      <c r="F40" s="102">
        <v>0.05</v>
      </c>
      <c r="G40" s="101">
        <v>416.10202890622463</v>
      </c>
      <c r="H40" s="138" t="s">
        <v>158</v>
      </c>
      <c r="I40" s="101">
        <v>25986820.011280444</v>
      </c>
      <c r="J40" s="101">
        <v>584703.45025380992</v>
      </c>
      <c r="K40" s="101">
        <v>541801.79745349369</v>
      </c>
      <c r="L40" s="101">
        <v>42901.652800316224</v>
      </c>
      <c r="M40" s="101">
        <v>116.06740105567388</v>
      </c>
      <c r="N40" s="120">
        <v>0.72450766221597562</v>
      </c>
      <c r="O40" s="120">
        <v>0.72465213025903807</v>
      </c>
    </row>
    <row r="41" spans="2:15" x14ac:dyDescent="0.2">
      <c r="B41" s="130"/>
      <c r="C41" s="100" t="s">
        <v>141</v>
      </c>
      <c r="D41" s="100">
        <v>5604</v>
      </c>
      <c r="E41" s="101">
        <v>5557.3164564926474</v>
      </c>
      <c r="F41" s="102">
        <v>0.1</v>
      </c>
      <c r="G41" s="101">
        <v>555.73164564926481</v>
      </c>
      <c r="H41" s="139"/>
      <c r="I41" s="101">
        <v>28028881.279966317</v>
      </c>
      <c r="J41" s="101">
        <v>630649.82879924215</v>
      </c>
      <c r="K41" s="101">
        <v>615375.60537829041</v>
      </c>
      <c r="L41" s="101">
        <v>15274.223420951748</v>
      </c>
      <c r="M41" s="101">
        <v>86.367924598001437</v>
      </c>
      <c r="N41" s="121"/>
      <c r="O41" s="121"/>
    </row>
    <row r="42" spans="2:15" x14ac:dyDescent="0.2">
      <c r="B42" s="130"/>
      <c r="C42" s="100" t="s">
        <v>143</v>
      </c>
      <c r="D42" s="100">
        <v>3867</v>
      </c>
      <c r="E42" s="101">
        <v>4001.8476609034183</v>
      </c>
      <c r="F42" s="102">
        <v>0.15</v>
      </c>
      <c r="G42" s="101">
        <v>600.27714913551267</v>
      </c>
      <c r="H42" s="139"/>
      <c r="I42" s="101">
        <v>13153873.169006489</v>
      </c>
      <c r="J42" s="101">
        <v>295962.14630264597</v>
      </c>
      <c r="K42" s="101">
        <v>304981.54633367364</v>
      </c>
      <c r="L42" s="101">
        <v>-9019.4000310276751</v>
      </c>
      <c r="M42" s="101">
        <v>69.723741281561928</v>
      </c>
      <c r="N42" s="121"/>
      <c r="O42" s="121"/>
    </row>
    <row r="43" spans="2:15" x14ac:dyDescent="0.2">
      <c r="B43" s="130"/>
      <c r="C43" s="100" t="s">
        <v>142</v>
      </c>
      <c r="D43" s="100">
        <v>2363</v>
      </c>
      <c r="E43" s="101">
        <v>3838.9208312847227</v>
      </c>
      <c r="F43" s="102">
        <v>0.2</v>
      </c>
      <c r="G43" s="101">
        <v>767.78416625694456</v>
      </c>
      <c r="H43" s="140"/>
      <c r="I43" s="101">
        <v>7257095.9394606398</v>
      </c>
      <c r="J43" s="101">
        <v>163284.6586378644</v>
      </c>
      <c r="K43" s="101">
        <v>178325.24947431468</v>
      </c>
      <c r="L43" s="101">
        <v>-15040.590836450283</v>
      </c>
      <c r="M43" s="101">
        <v>75.633103759289057</v>
      </c>
      <c r="N43" s="121"/>
      <c r="O43" s="121"/>
    </row>
    <row r="44" spans="2:15" x14ac:dyDescent="0.2">
      <c r="B44" s="130"/>
      <c r="C44" s="103" t="s">
        <v>134</v>
      </c>
      <c r="D44" s="104">
        <v>15121</v>
      </c>
      <c r="E44" s="105">
        <v>21772.67401440562</v>
      </c>
      <c r="F44" s="104"/>
      <c r="G44" s="105">
        <v>2723.8684691399999</v>
      </c>
      <c r="H44" s="104"/>
      <c r="I44" s="105">
        <v>74590306.794702455</v>
      </c>
      <c r="J44" s="105">
        <v>1678281.9028808051</v>
      </c>
      <c r="K44" s="105">
        <v>1626758.0841114307</v>
      </c>
      <c r="L44" s="105">
        <v>51523.818769374397</v>
      </c>
      <c r="M44" s="103"/>
      <c r="N44" s="122"/>
      <c r="O44" s="122"/>
    </row>
  </sheetData>
  <mergeCells count="50">
    <mergeCell ref="N20:N24"/>
    <mergeCell ref="O20:O24"/>
    <mergeCell ref="O8:O9"/>
    <mergeCell ref="B10:B14"/>
    <mergeCell ref="H10:H13"/>
    <mergeCell ref="N10:N14"/>
    <mergeCell ref="O10:O14"/>
    <mergeCell ref="B15:B19"/>
    <mergeCell ref="H15:H18"/>
    <mergeCell ref="N15:N19"/>
    <mergeCell ref="O15:O19"/>
    <mergeCell ref="I8:I9"/>
    <mergeCell ref="J8:J9"/>
    <mergeCell ref="K8:K9"/>
    <mergeCell ref="N8:N9"/>
    <mergeCell ref="B8:B9"/>
    <mergeCell ref="C8:C9"/>
    <mergeCell ref="D8:D9"/>
    <mergeCell ref="E8:E9"/>
    <mergeCell ref="F8:F9"/>
    <mergeCell ref="G8:H8"/>
    <mergeCell ref="G28:H28"/>
    <mergeCell ref="B35:B39"/>
    <mergeCell ref="H35:H38"/>
    <mergeCell ref="L8:L9"/>
    <mergeCell ref="M8:M9"/>
    <mergeCell ref="B20:B24"/>
    <mergeCell ref="H20:H23"/>
    <mergeCell ref="N28:N29"/>
    <mergeCell ref="O28:O29"/>
    <mergeCell ref="B30:B34"/>
    <mergeCell ref="H30:H33"/>
    <mergeCell ref="N30:N34"/>
    <mergeCell ref="O30:O34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N35:N39"/>
    <mergeCell ref="O35:O39"/>
    <mergeCell ref="B40:B44"/>
    <mergeCell ref="H40:H43"/>
    <mergeCell ref="N40:N44"/>
    <mergeCell ref="O40:O44"/>
  </mergeCells>
  <pageMargins left="0.25" right="0.25" top="0.75" bottom="0.75" header="0.3" footer="0.3"/>
  <pageSetup scale="7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A7C4-7BC1-5F4F-8817-2B4ADED99EC1}">
  <sheetPr>
    <pageSetUpPr fitToPage="1"/>
  </sheetPr>
  <dimension ref="B1:O24"/>
  <sheetViews>
    <sheetView zoomScale="150" workbookViewId="0">
      <selection activeCell="F7" sqref="F7"/>
    </sheetView>
  </sheetViews>
  <sheetFormatPr baseColWidth="10" defaultRowHeight="15" x14ac:dyDescent="0.2"/>
  <cols>
    <col min="1" max="1" width="10.83203125" style="62"/>
    <col min="2" max="7" width="10.83203125" style="62" customWidth="1"/>
    <col min="8" max="8" width="13" style="62" bestFit="1" customWidth="1"/>
    <col min="9" max="15" width="10.83203125" style="62" customWidth="1"/>
    <col min="16" max="16384" width="10.83203125" style="62"/>
  </cols>
  <sheetData>
    <row r="1" spans="2:15" ht="16" thickBot="1" x14ac:dyDescent="0.25"/>
    <row r="2" spans="2:15" ht="33" thickBot="1" x14ac:dyDescent="0.25">
      <c r="C2" s="65"/>
      <c r="D2" s="74" t="s">
        <v>156</v>
      </c>
      <c r="E2" s="71" t="s">
        <v>164</v>
      </c>
      <c r="G2" s="70"/>
      <c r="H2" s="68" t="s">
        <v>121</v>
      </c>
      <c r="I2" s="75" t="s">
        <v>122</v>
      </c>
      <c r="J2" s="69" t="s">
        <v>134</v>
      </c>
    </row>
    <row r="3" spans="2:15" ht="16" thickBot="1" x14ac:dyDescent="0.25">
      <c r="C3" s="66" t="s">
        <v>152</v>
      </c>
      <c r="D3" s="89">
        <f>'X-Old Income Group'!D1</f>
        <v>1.9544889999999999E-2</v>
      </c>
      <c r="E3" s="90">
        <f>ROUNDUP('X-Old Income Group'!N33,-3)</f>
        <v>1627000</v>
      </c>
      <c r="F3" s="91"/>
      <c r="G3" s="66" t="s">
        <v>113</v>
      </c>
      <c r="H3" s="94">
        <f>'X-Old Income Group'!P1</f>
        <v>0.72433365137756445</v>
      </c>
      <c r="I3" s="95">
        <f>'X-Old Income Group'!P2</f>
        <v>0.72589611768027518</v>
      </c>
      <c r="J3" s="96">
        <f>'X-Old Income Group'!P3</f>
        <v>0.72465213025903807</v>
      </c>
    </row>
    <row r="4" spans="2:15" ht="16" thickBot="1" x14ac:dyDescent="0.25">
      <c r="C4" s="70" t="s">
        <v>153</v>
      </c>
      <c r="D4" s="92">
        <f>'X-Old Income Group'!D2</f>
        <v>2.2499999999999999E-2</v>
      </c>
      <c r="E4" s="93">
        <f>ROUNDUP('X-Old Income Group'!M33,-3)</f>
        <v>1679000</v>
      </c>
      <c r="G4" s="70" t="s">
        <v>106</v>
      </c>
      <c r="H4" s="97">
        <f>'X-Old Income Group'!N1</f>
        <v>0.7268664384846647</v>
      </c>
      <c r="I4" s="98">
        <f>'X-Old Income Group'!N2</f>
        <v>0.72617025194538742</v>
      </c>
      <c r="J4" s="99">
        <f>'X-Old Income Group'!N3</f>
        <v>0.72661330121182011</v>
      </c>
    </row>
    <row r="5" spans="2:15" ht="16" thickBot="1" x14ac:dyDescent="0.25">
      <c r="C5" s="67" t="s">
        <v>157</v>
      </c>
      <c r="D5" s="84">
        <f>(D4-D3)/D3</f>
        <v>0.15119604152287378</v>
      </c>
      <c r="E5" s="83">
        <f>(E4-E3)/E3</f>
        <v>3.196066379840197E-2</v>
      </c>
      <c r="G5" s="67" t="s">
        <v>157</v>
      </c>
      <c r="H5" s="81">
        <f>(H4-H3)/H3</f>
        <v>3.4967132926701748E-3</v>
      </c>
      <c r="I5" s="85">
        <f t="shared" ref="I5:J5" si="0">(I4-I3)/I3</f>
        <v>3.7764944381888928E-4</v>
      </c>
      <c r="J5" s="82">
        <f t="shared" si="0"/>
        <v>2.7063619506382756E-3</v>
      </c>
    </row>
    <row r="6" spans="2:15" x14ac:dyDescent="0.2">
      <c r="G6" s="61"/>
      <c r="J6" s="61"/>
    </row>
    <row r="7" spans="2:15" ht="16" thickBot="1" x14ac:dyDescent="0.25">
      <c r="G7" s="61"/>
      <c r="J7" s="61"/>
    </row>
    <row r="8" spans="2:15" ht="16" customHeight="1" thickBot="1" x14ac:dyDescent="0.25">
      <c r="B8" s="163"/>
      <c r="C8" s="155" t="s">
        <v>139</v>
      </c>
      <c r="D8" s="169" t="s">
        <v>144</v>
      </c>
      <c r="E8" s="155" t="s">
        <v>154</v>
      </c>
      <c r="F8" s="167" t="s">
        <v>167</v>
      </c>
      <c r="G8" s="127" t="s">
        <v>149</v>
      </c>
      <c r="H8" s="128"/>
      <c r="I8" s="155" t="s">
        <v>159</v>
      </c>
      <c r="J8" s="155" t="s">
        <v>84</v>
      </c>
      <c r="K8" s="155" t="s">
        <v>85</v>
      </c>
      <c r="L8" s="155" t="s">
        <v>150</v>
      </c>
      <c r="M8" s="155" t="s">
        <v>100</v>
      </c>
      <c r="N8" s="155" t="s">
        <v>155</v>
      </c>
      <c r="O8" s="155" t="s">
        <v>151</v>
      </c>
    </row>
    <row r="9" spans="2:15" ht="45" customHeight="1" thickBot="1" x14ac:dyDescent="0.25">
      <c r="B9" s="165"/>
      <c r="C9" s="156"/>
      <c r="D9" s="170"/>
      <c r="E9" s="156"/>
      <c r="F9" s="168"/>
      <c r="G9" s="74" t="s">
        <v>166</v>
      </c>
      <c r="H9" s="74" t="s">
        <v>165</v>
      </c>
      <c r="I9" s="156"/>
      <c r="J9" s="156"/>
      <c r="K9" s="156"/>
      <c r="L9" s="156"/>
      <c r="M9" s="156"/>
      <c r="N9" s="156"/>
      <c r="O9" s="156"/>
    </row>
    <row r="10" spans="2:15" x14ac:dyDescent="0.2">
      <c r="B10" s="163" t="s">
        <v>121</v>
      </c>
      <c r="C10" s="72" t="s">
        <v>140</v>
      </c>
      <c r="D10" s="62">
        <f>'X-Old Income Group'!B7</f>
        <v>3001</v>
      </c>
      <c r="E10" s="86">
        <f>'X-Old Income Group'!F7</f>
        <v>8238.7419140000002</v>
      </c>
      <c r="F10" s="63">
        <f>'X-Old Income Group'!K7</f>
        <v>0.05</v>
      </c>
      <c r="G10" s="88">
        <f>'X-Old Income Group'!J7</f>
        <v>411.93709570000004</v>
      </c>
      <c r="H10" s="160">
        <f>'X-Old Income Group'!Q7</f>
        <v>0</v>
      </c>
      <c r="I10" s="88">
        <f>'X-Old Income Group'!L7</f>
        <v>23488241.259718299</v>
      </c>
      <c r="J10" s="64">
        <f>'X-Old Income Group'!M7</f>
        <v>528485.42834366171</v>
      </c>
      <c r="K10" s="88">
        <f>'X-Old Income Group'!N7</f>
        <v>489644.55770420568</v>
      </c>
      <c r="L10" s="64">
        <f>'X-Old Income Group'!O7</f>
        <v>38840.870639456029</v>
      </c>
      <c r="M10" s="88">
        <f>'X-Old Income Group'!V7</f>
        <v>110.2377</v>
      </c>
      <c r="N10" s="157">
        <f>'X-Old Income Group'!AC7</f>
        <v>0.7268664384846647</v>
      </c>
      <c r="O10" s="158">
        <f>'X-Old Income Group'!AM7</f>
        <v>0.72433365137756445</v>
      </c>
    </row>
    <row r="11" spans="2:15" x14ac:dyDescent="0.2">
      <c r="B11" s="164"/>
      <c r="C11" s="73" t="s">
        <v>141</v>
      </c>
      <c r="D11" s="62">
        <f>'X-Old Income Group'!B8</f>
        <v>5053</v>
      </c>
      <c r="E11" s="86">
        <f>'X-Old Income Group'!F8</f>
        <v>5431.3065091999997</v>
      </c>
      <c r="F11" s="63">
        <f>'X-Old Income Group'!K8</f>
        <v>0.1</v>
      </c>
      <c r="G11" s="86">
        <f>'X-Old Income Group'!J8</f>
        <v>543.13065091999999</v>
      </c>
      <c r="H11" s="161"/>
      <c r="I11" s="86">
        <f>'X-Old Income Group'!L8</f>
        <v>24699952.611888837</v>
      </c>
      <c r="J11" s="64">
        <f>'X-Old Income Group'!M8</f>
        <v>555748.93376749882</v>
      </c>
      <c r="K11" s="86">
        <f>'X-Old Income Group'!N8</f>
        <v>541862.32266208285</v>
      </c>
      <c r="L11" s="64">
        <f>'X-Old Income Group'!O8</f>
        <v>13886.61110541597</v>
      </c>
      <c r="M11" s="86">
        <f>'X-Old Income Group'!V8</f>
        <v>80.976028400000004</v>
      </c>
      <c r="N11" s="148"/>
      <c r="O11" s="159"/>
    </row>
    <row r="12" spans="2:15" x14ac:dyDescent="0.2">
      <c r="B12" s="164"/>
      <c r="C12" s="73" t="s">
        <v>143</v>
      </c>
      <c r="D12" s="62">
        <f>'X-Old Income Group'!B9</f>
        <v>3458</v>
      </c>
      <c r="E12" s="86">
        <f>'X-Old Income Group'!F9</f>
        <v>3819.2878240399996</v>
      </c>
      <c r="F12" s="63">
        <f>'X-Old Income Group'!K9</f>
        <v>0.15</v>
      </c>
      <c r="G12" s="86">
        <f>'X-Old Income Group'!J9</f>
        <v>572.89317360599989</v>
      </c>
      <c r="H12" s="161"/>
      <c r="I12" s="86">
        <f>'X-Old Income Group'!L9</f>
        <v>11226032.70120077</v>
      </c>
      <c r="J12" s="64">
        <f>'X-Old Income Group'!M9</f>
        <v>252585.73577701731</v>
      </c>
      <c r="K12" s="86">
        <f>'X-Old Income Group'!N9</f>
        <v>259811.17393426783</v>
      </c>
      <c r="L12" s="64">
        <f>'X-Old Income Group'!O9</f>
        <v>-7225.4381572505226</v>
      </c>
      <c r="M12" s="86">
        <f>'X-Old Income Group'!V9</f>
        <v>63.9621511</v>
      </c>
      <c r="N12" s="148"/>
      <c r="O12" s="159"/>
    </row>
    <row r="13" spans="2:15" ht="16" thickBot="1" x14ac:dyDescent="0.25">
      <c r="B13" s="164"/>
      <c r="C13" s="73" t="s">
        <v>142</v>
      </c>
      <c r="D13" s="62">
        <f>'X-Old Income Group'!B10</f>
        <v>2090</v>
      </c>
      <c r="E13" s="86">
        <f>'X-Old Income Group'!F10</f>
        <v>3887.4848126399997</v>
      </c>
      <c r="F13" s="63">
        <f>'X-Old Income Group'!K10</f>
        <v>0.2</v>
      </c>
      <c r="G13" s="86">
        <f>'X-Old Income Group'!J10</f>
        <v>777.49696252800004</v>
      </c>
      <c r="H13" s="162"/>
      <c r="I13" s="86">
        <f>'X-Old Income Group'!L10</f>
        <v>6499874.6067340793</v>
      </c>
      <c r="J13" s="64">
        <f>'X-Old Income Group'!M10</f>
        <v>146247.17865151679</v>
      </c>
      <c r="K13" s="86">
        <f>'X-Old Income Group'!N10</f>
        <v>159035.10789744343</v>
      </c>
      <c r="L13" s="64">
        <f>'X-Old Income Group'!O10</f>
        <v>-12787.929245926643</v>
      </c>
      <c r="M13" s="86">
        <f>'X-Old Income Group'!V10</f>
        <v>74.858656100000005</v>
      </c>
      <c r="N13" s="148"/>
      <c r="O13" s="159"/>
    </row>
    <row r="14" spans="2:15" ht="16" thickBot="1" x14ac:dyDescent="0.25">
      <c r="B14" s="165"/>
      <c r="C14" s="76" t="s">
        <v>134</v>
      </c>
      <c r="D14" s="77">
        <f>'X-Old Income Group'!B13</f>
        <v>13602</v>
      </c>
      <c r="E14" s="87">
        <f>'X-Old Income Group'!F13</f>
        <v>21376.82105988</v>
      </c>
      <c r="F14" s="79"/>
      <c r="G14" s="87">
        <f>'X-Old Income Group'!J13</f>
        <v>2305.4578827539999</v>
      </c>
      <c r="H14" s="77"/>
      <c r="I14" s="87">
        <f>'X-Old Income Group'!L13</f>
        <v>65914101.17954199</v>
      </c>
      <c r="J14" s="78">
        <f>'X-Old Income Group'!M13</f>
        <v>1483067.2765396948</v>
      </c>
      <c r="K14" s="87">
        <f>'X-Old Income Group'!N13</f>
        <v>1436564.9889322126</v>
      </c>
      <c r="L14" s="78">
        <f>'X-Old Income Group'!O13</f>
        <v>46502.287607482169</v>
      </c>
      <c r="M14" s="76"/>
      <c r="N14" s="148"/>
      <c r="O14" s="159"/>
    </row>
    <row r="15" spans="2:15" x14ac:dyDescent="0.2">
      <c r="B15" s="163" t="s">
        <v>122</v>
      </c>
      <c r="C15" s="73" t="s">
        <v>140</v>
      </c>
      <c r="D15" s="62">
        <f>'X-Old Income Group'!B17</f>
        <v>286</v>
      </c>
      <c r="E15" s="86">
        <f>'X-Old Income Group'!F17</f>
        <v>9312.7138104000005</v>
      </c>
      <c r="F15" s="63">
        <f>'X-Old Income Group'!K17</f>
        <v>0.05</v>
      </c>
      <c r="G15" s="86">
        <f>'X-Old Income Group'!J17</f>
        <v>465.63569052000003</v>
      </c>
      <c r="H15" s="152">
        <f>'X-Old Income Group'!Q17</f>
        <v>1000</v>
      </c>
      <c r="I15" s="86">
        <f>'X-Old Income Group'!L17</f>
        <v>2244264.3422856797</v>
      </c>
      <c r="J15" s="64">
        <f>'X-Old Income Group'!M17</f>
        <v>50495.947701427787</v>
      </c>
      <c r="K15" s="86">
        <f>'X-Old Income Group'!N17</f>
        <v>52157.239749288143</v>
      </c>
      <c r="L15" s="64">
        <f>'X-Old Income Group'!O17</f>
        <v>-1661.2920478603555</v>
      </c>
      <c r="M15" s="86">
        <f>'X-Old Income Group'!V17</f>
        <v>177.238495</v>
      </c>
      <c r="N15" s="157">
        <f>'X-Old Income Group'!N2</f>
        <v>0.72617025194538742</v>
      </c>
      <c r="O15" s="166">
        <f>'X-Old Income Group'!P2</f>
        <v>0.72589611768027518</v>
      </c>
    </row>
    <row r="16" spans="2:15" x14ac:dyDescent="0.2">
      <c r="B16" s="164"/>
      <c r="C16" s="73" t="s">
        <v>141</v>
      </c>
      <c r="D16" s="62">
        <f>'X-Old Income Group'!B18</f>
        <v>551</v>
      </c>
      <c r="E16" s="86">
        <f>'X-Old Income Group'!F18</f>
        <v>6824.8736607999999</v>
      </c>
      <c r="F16" s="63">
        <f>'X-Old Income Group'!K18</f>
        <v>0.1</v>
      </c>
      <c r="G16" s="86">
        <f>'X-Old Income Group'!J18</f>
        <v>682.48736608000002</v>
      </c>
      <c r="H16" s="153"/>
      <c r="I16" s="86">
        <f>'X-Old Income Group'!L18</f>
        <v>2833454.8483907199</v>
      </c>
      <c r="J16" s="64">
        <f>'X-Old Income Group'!M18</f>
        <v>63752.734088791192</v>
      </c>
      <c r="K16" s="86">
        <f>'X-Old Income Group'!N18</f>
        <v>73513.282716207526</v>
      </c>
      <c r="L16" s="64">
        <f>'X-Old Income Group'!O18</f>
        <v>-9760.5486274163341</v>
      </c>
      <c r="M16" s="86">
        <f>'X-Old Income Group'!V18</f>
        <v>135.814842</v>
      </c>
      <c r="N16" s="148"/>
      <c r="O16" s="150"/>
    </row>
    <row r="17" spans="2:15" x14ac:dyDescent="0.2">
      <c r="B17" s="164"/>
      <c r="C17" s="73" t="s">
        <v>143</v>
      </c>
      <c r="D17" s="62">
        <f>'X-Old Income Group'!B19</f>
        <v>409</v>
      </c>
      <c r="E17" s="86">
        <f>'X-Old Income Group'!F19</f>
        <v>5660.9868587999999</v>
      </c>
      <c r="F17" s="63">
        <f>'X-Old Income Group'!K19</f>
        <v>0.15</v>
      </c>
      <c r="G17" s="86">
        <f>'X-Old Income Group'!J19</f>
        <v>849.14802881999992</v>
      </c>
      <c r="H17" s="153"/>
      <c r="I17" s="86">
        <f>'X-Old Income Group'!L19</f>
        <v>1559042.0814618201</v>
      </c>
      <c r="J17" s="64">
        <f>'X-Old Income Group'!M19</f>
        <v>35078.44683289095</v>
      </c>
      <c r="K17" s="86">
        <f>'X-Old Income Group'!N19</f>
        <v>45170.372399405765</v>
      </c>
      <c r="L17" s="64">
        <f>'X-Old Income Group'!O19</f>
        <v>-10091.925566514816</v>
      </c>
      <c r="M17" s="86">
        <f>'X-Old Income Group'!V19</f>
        <v>118.43664800000001</v>
      </c>
      <c r="N17" s="148"/>
      <c r="O17" s="150"/>
    </row>
    <row r="18" spans="2:15" ht="16" thickBot="1" x14ac:dyDescent="0.25">
      <c r="B18" s="164"/>
      <c r="C18" s="73" t="s">
        <v>142</v>
      </c>
      <c r="D18" s="62">
        <f>'X-Old Income Group'!B20</f>
        <v>273</v>
      </c>
      <c r="E18" s="86">
        <f>'X-Old Income Group'!F20</f>
        <v>3632.9869185999996</v>
      </c>
      <c r="F18" s="63">
        <f>'X-Old Income Group'!K20</f>
        <v>0.2</v>
      </c>
      <c r="G18" s="86">
        <f>'X-Old Income Group'!J20</f>
        <v>726.59738371999993</v>
      </c>
      <c r="H18" s="154"/>
      <c r="I18" s="86">
        <f>'X-Old Income Group'!L20</f>
        <v>520444.34302223992</v>
      </c>
      <c r="J18" s="64">
        <f>'X-Old Income Group'!M20</f>
        <v>11709.997718000397</v>
      </c>
      <c r="K18" s="86">
        <f>'X-Old Income Group'!N20</f>
        <v>19290.141576871258</v>
      </c>
      <c r="L18" s="64">
        <f>'X-Old Income Group'!O20</f>
        <v>-7580.1438588708606</v>
      </c>
      <c r="M18" s="86">
        <f>'X-Old Income Group'!V20</f>
        <v>81.562025399999996</v>
      </c>
      <c r="N18" s="148"/>
      <c r="O18" s="150"/>
    </row>
    <row r="19" spans="2:15" ht="16" thickBot="1" x14ac:dyDescent="0.25">
      <c r="B19" s="165"/>
      <c r="C19" s="76" t="s">
        <v>134</v>
      </c>
      <c r="D19" s="77">
        <f>'X-Old Income Group'!B23</f>
        <v>1519</v>
      </c>
      <c r="E19" s="87">
        <f>'X-Old Income Group'!F23</f>
        <v>25431.561248599999</v>
      </c>
      <c r="F19" s="79"/>
      <c r="G19" s="87">
        <f>'X-Old Income Group'!J23</f>
        <v>2723.8684691399999</v>
      </c>
      <c r="H19" s="77"/>
      <c r="I19" s="87">
        <f>'X-Old Income Group'!L23</f>
        <v>7157205.6151604597</v>
      </c>
      <c r="J19" s="78">
        <f>'X-Old Income Group'!M23</f>
        <v>161037.12634111033</v>
      </c>
      <c r="K19" s="87">
        <f>'X-Old Income Group'!N23</f>
        <v>190193.09517921845</v>
      </c>
      <c r="L19" s="78">
        <f>'X-Old Income Group'!O23</f>
        <v>-29155.968838108121</v>
      </c>
      <c r="M19" s="80"/>
      <c r="N19" s="149"/>
      <c r="O19" s="151"/>
    </row>
    <row r="20" spans="2:15" x14ac:dyDescent="0.2">
      <c r="B20" s="164" t="s">
        <v>134</v>
      </c>
      <c r="C20" s="73" t="s">
        <v>140</v>
      </c>
      <c r="D20" s="62">
        <f>'X-Old Income Group'!B27</f>
        <v>3287</v>
      </c>
      <c r="E20" s="86">
        <f>'X-Old Income Group'!F27</f>
        <v>8332.1875977147556</v>
      </c>
      <c r="F20" s="63">
        <f>'X-Old Income Group'!K27</f>
        <v>0.05</v>
      </c>
      <c r="G20" s="86">
        <f>'X-Old Income Group'!J27</f>
        <v>416.60937988573778</v>
      </c>
      <c r="H20" s="152" t="s">
        <v>158</v>
      </c>
      <c r="I20" s="86">
        <f>'X-Old Income Group'!L27</f>
        <v>26018505.60200398</v>
      </c>
      <c r="J20" s="64">
        <f>'X-Old Income Group'!M27</f>
        <v>585416.37604508956</v>
      </c>
      <c r="K20" s="86">
        <f>'X-Old Income Group'!N27</f>
        <v>541801.79745349369</v>
      </c>
      <c r="L20" s="64">
        <f>'X-Old Income Group'!O27</f>
        <v>43614.57859159587</v>
      </c>
      <c r="M20" s="86">
        <f>'X-Old Income Group'!V27</f>
        <v>116.06740105567388</v>
      </c>
      <c r="N20" s="148">
        <f>'X-Old Income Group'!N3</f>
        <v>0.72661330121182011</v>
      </c>
      <c r="O20" s="150">
        <f>'X-Old Income Group'!P3</f>
        <v>0.72465213025903807</v>
      </c>
    </row>
    <row r="21" spans="2:15" x14ac:dyDescent="0.2">
      <c r="B21" s="164"/>
      <c r="C21" s="73" t="s">
        <v>141</v>
      </c>
      <c r="D21" s="62">
        <f>'X-Old Income Group'!B28</f>
        <v>5604</v>
      </c>
      <c r="E21" s="86">
        <f>'X-Old Income Group'!F28</f>
        <v>5568.3256920214844</v>
      </c>
      <c r="F21" s="63">
        <f>'X-Old Income Group'!K28</f>
        <v>0.1</v>
      </c>
      <c r="G21" s="86">
        <f>'X-Old Income Group'!J28</f>
        <v>556.83256920214842</v>
      </c>
      <c r="H21" s="153"/>
      <c r="I21" s="86">
        <f>'X-Old Income Group'!L28</f>
        <v>28084407.460279562</v>
      </c>
      <c r="J21" s="64">
        <f>'X-Old Income Group'!M28</f>
        <v>631899.16785629012</v>
      </c>
      <c r="K21" s="86">
        <f>'X-Old Income Group'!N28</f>
        <v>615375.60537829041</v>
      </c>
      <c r="L21" s="64">
        <f>'X-Old Income Group'!O28</f>
        <v>16523.562477999716</v>
      </c>
      <c r="M21" s="86">
        <f>'X-Old Income Group'!V28</f>
        <v>86.367924598001437</v>
      </c>
      <c r="N21" s="148"/>
      <c r="O21" s="150"/>
    </row>
    <row r="22" spans="2:15" x14ac:dyDescent="0.2">
      <c r="B22" s="164"/>
      <c r="C22" s="73" t="s">
        <v>143</v>
      </c>
      <c r="D22" s="62">
        <f>'X-Old Income Group'!B29</f>
        <v>3867</v>
      </c>
      <c r="E22" s="86">
        <f>'X-Old Income Group'!F29</f>
        <v>4014.0783348279074</v>
      </c>
      <c r="F22" s="63">
        <f>'X-Old Income Group'!K29</f>
        <v>0.15</v>
      </c>
      <c r="G22" s="86">
        <f>'X-Old Income Group'!J29</f>
        <v>602.11175022418604</v>
      </c>
      <c r="H22" s="153"/>
      <c r="I22" s="86">
        <f>'X-Old Income Group'!L29</f>
        <v>13194074.782662591</v>
      </c>
      <c r="J22" s="64">
        <f>'X-Old Income Group'!M29</f>
        <v>296866.68260990828</v>
      </c>
      <c r="K22" s="86">
        <f>'X-Old Income Group'!N29</f>
        <v>304981.54633367364</v>
      </c>
      <c r="L22" s="64">
        <f>'X-Old Income Group'!O29</f>
        <v>-8114.8637237653602</v>
      </c>
      <c r="M22" s="86">
        <f>'X-Old Income Group'!V29</f>
        <v>69.723741281561928</v>
      </c>
      <c r="N22" s="148"/>
      <c r="O22" s="150"/>
    </row>
    <row r="23" spans="2:15" ht="16" thickBot="1" x14ac:dyDescent="0.25">
      <c r="B23" s="164"/>
      <c r="C23" s="73" t="s">
        <v>142</v>
      </c>
      <c r="D23" s="62">
        <f>'X-Old Income Group'!B30</f>
        <v>2363</v>
      </c>
      <c r="E23" s="86">
        <f>'X-Old Income Group'!F30</f>
        <v>3858.0823898414719</v>
      </c>
      <c r="F23" s="63">
        <f>'X-Old Income Group'!K30</f>
        <v>0.2</v>
      </c>
      <c r="G23" s="86">
        <f>'X-Old Income Group'!J30</f>
        <v>771.61647796829448</v>
      </c>
      <c r="H23" s="154"/>
      <c r="I23" s="86">
        <f>'X-Old Income Group'!L30</f>
        <v>7293318.9497563187</v>
      </c>
      <c r="J23" s="64">
        <f>'X-Old Income Group'!M30</f>
        <v>164099.67636951717</v>
      </c>
      <c r="K23" s="86">
        <f>'X-Old Income Group'!N30</f>
        <v>178325.24947431468</v>
      </c>
      <c r="L23" s="64">
        <f>'X-Old Income Group'!O30</f>
        <v>-14225.573104797513</v>
      </c>
      <c r="M23" s="86">
        <f>'X-Old Income Group'!V30</f>
        <v>75.633103759289057</v>
      </c>
      <c r="N23" s="148"/>
      <c r="O23" s="150"/>
    </row>
    <row r="24" spans="2:15" ht="16" thickBot="1" x14ac:dyDescent="0.25">
      <c r="B24" s="165"/>
      <c r="C24" s="76" t="s">
        <v>134</v>
      </c>
      <c r="D24" s="77">
        <f>'X-Old Income Group'!B33</f>
        <v>15121</v>
      </c>
      <c r="E24" s="87">
        <f>'X-Old Income Group'!F33</f>
        <v>21772.67401440562</v>
      </c>
      <c r="F24" s="77"/>
      <c r="G24" s="87">
        <f>'X-Old Income Group'!J23</f>
        <v>2723.8684691399999</v>
      </c>
      <c r="H24" s="77"/>
      <c r="I24" s="87">
        <f>'X-Old Income Group'!L33</f>
        <v>74590306.794702455</v>
      </c>
      <c r="J24" s="78">
        <f>'X-Old Income Group'!M33</f>
        <v>1678281.9028808051</v>
      </c>
      <c r="K24" s="87">
        <f>'X-Old Income Group'!N33</f>
        <v>1626758.0841114307</v>
      </c>
      <c r="L24" s="78">
        <f>'X-Old Income Group'!O33</f>
        <v>51523.818769374397</v>
      </c>
      <c r="M24" s="76"/>
      <c r="N24" s="149"/>
      <c r="O24" s="151"/>
    </row>
  </sheetData>
  <mergeCells count="25">
    <mergeCell ref="B20:B24"/>
    <mergeCell ref="J8:J9"/>
    <mergeCell ref="K8:K9"/>
    <mergeCell ref="L8:L9"/>
    <mergeCell ref="M8:M9"/>
    <mergeCell ref="B8:B9"/>
    <mergeCell ref="G8:H8"/>
    <mergeCell ref="F8:F9"/>
    <mergeCell ref="E8:E9"/>
    <mergeCell ref="D8:D9"/>
    <mergeCell ref="C8:C9"/>
    <mergeCell ref="I8:I9"/>
    <mergeCell ref="B15:B19"/>
    <mergeCell ref="B10:B14"/>
    <mergeCell ref="N8:N9"/>
    <mergeCell ref="H15:H18"/>
    <mergeCell ref="N15:N19"/>
    <mergeCell ref="N20:N24"/>
    <mergeCell ref="O20:O24"/>
    <mergeCell ref="H20:H23"/>
    <mergeCell ref="O8:O9"/>
    <mergeCell ref="N10:N14"/>
    <mergeCell ref="O10:O14"/>
    <mergeCell ref="H10:H13"/>
    <mergeCell ref="O15:O19"/>
  </mergeCells>
  <pageMargins left="0.25" right="0.25" top="0.75" bottom="0.75" header="0.3" footer="0.3"/>
  <pageSetup scale="75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F3ED-21D6-804A-82FD-CCEDC5C55932}">
  <dimension ref="A1:AW33"/>
  <sheetViews>
    <sheetView zoomScale="110" workbookViewId="0">
      <selection activeCell="U7" sqref="U7"/>
    </sheetView>
  </sheetViews>
  <sheetFormatPr baseColWidth="10" defaultRowHeight="15" x14ac:dyDescent="0.2"/>
  <cols>
    <col min="1" max="1" width="7.1640625" customWidth="1"/>
    <col min="2" max="2" width="10" bestFit="1" customWidth="1"/>
    <col min="3" max="6" width="11.83203125" customWidth="1"/>
    <col min="7" max="7" width="12.6640625" customWidth="1"/>
    <col min="8" max="9" width="12.5" bestFit="1" customWidth="1"/>
    <col min="10" max="10" width="11.33203125" style="23" customWidth="1"/>
    <col min="11" max="11" width="11.1640625" style="20" bestFit="1" customWidth="1"/>
    <col min="12" max="13" width="11.1640625" bestFit="1" customWidth="1"/>
    <col min="14" max="15" width="11.6640625" bestFit="1" customWidth="1"/>
    <col min="17" max="17" width="11.6640625" bestFit="1" customWidth="1"/>
    <col min="19" max="19" width="11.33203125" style="23" bestFit="1" customWidth="1"/>
    <col min="20" max="20" width="11.33203125" style="20" bestFit="1" customWidth="1"/>
    <col min="22" max="28" width="11.1640625" bestFit="1" customWidth="1"/>
    <col min="29" max="29" width="11.33203125" bestFit="1" customWidth="1"/>
    <col min="30" max="30" width="11.1640625" bestFit="1" customWidth="1"/>
    <col min="32" max="36" width="11.1640625" bestFit="1" customWidth="1"/>
  </cols>
  <sheetData>
    <row r="1" spans="1:49" x14ac:dyDescent="0.2">
      <c r="A1" s="11" t="s">
        <v>132</v>
      </c>
      <c r="D1" s="48">
        <v>1.9544889999999999E-2</v>
      </c>
      <c r="F1" s="11" t="s">
        <v>91</v>
      </c>
      <c r="H1" s="19">
        <f>N13+N23</f>
        <v>1626758.0841114311</v>
      </c>
      <c r="L1" s="11" t="s">
        <v>127</v>
      </c>
      <c r="N1" s="49">
        <f>AC7</f>
        <v>0.7268664384846647</v>
      </c>
      <c r="O1" s="137" t="s">
        <v>136</v>
      </c>
      <c r="P1" s="49">
        <f>AM7</f>
        <v>0.72433365137756445</v>
      </c>
      <c r="Q1" s="47">
        <f>N1/P1-1</f>
        <v>3.496713292670206E-3</v>
      </c>
    </row>
    <row r="2" spans="1:49" x14ac:dyDescent="0.2">
      <c r="A2" s="11" t="s">
        <v>133</v>
      </c>
      <c r="D2">
        <v>2.2499999999999999E-2</v>
      </c>
      <c r="F2" s="11" t="s">
        <v>92</v>
      </c>
      <c r="H2" s="19">
        <f>M13+M23</f>
        <v>1644104.4028808051</v>
      </c>
      <c r="L2" s="11" t="s">
        <v>128</v>
      </c>
      <c r="N2" s="49">
        <f>AC17</f>
        <v>0.72617025194538742</v>
      </c>
      <c r="O2" s="137"/>
      <c r="P2" s="49">
        <f>AM17</f>
        <v>0.72589611768027518</v>
      </c>
      <c r="Q2" s="47">
        <f>N2/P2-1</f>
        <v>3.7764944381879495E-4</v>
      </c>
    </row>
    <row r="3" spans="1:49" x14ac:dyDescent="0.2">
      <c r="F3" s="11" t="s">
        <v>86</v>
      </c>
      <c r="G3" t="s">
        <v>89</v>
      </c>
      <c r="H3" s="19">
        <f>O13+O23</f>
        <v>17346.318769374047</v>
      </c>
      <c r="I3" s="46">
        <f>H2/H1-1</f>
        <v>1.0663121295535927E-2</v>
      </c>
      <c r="L3" s="11" t="s">
        <v>135</v>
      </c>
      <c r="N3" s="49">
        <f>AC27</f>
        <v>0.72661330121182011</v>
      </c>
      <c r="O3" s="137"/>
      <c r="P3" s="49">
        <f>AM27</f>
        <v>0.72465213025903807</v>
      </c>
      <c r="Q3" s="47">
        <f>N3/P3-1</f>
        <v>2.7063619506382253E-3</v>
      </c>
      <c r="S3" s="30" t="s">
        <v>81</v>
      </c>
      <c r="V3" s="11" t="s">
        <v>137</v>
      </c>
      <c r="AF3" s="11" t="s">
        <v>138</v>
      </c>
    </row>
    <row r="4" spans="1:49" x14ac:dyDescent="0.2">
      <c r="E4" s="11"/>
      <c r="I4" s="18"/>
      <c r="J4" s="23" t="s">
        <v>95</v>
      </c>
      <c r="K4" s="20" t="s">
        <v>94</v>
      </c>
      <c r="S4" s="23" t="s">
        <v>96</v>
      </c>
      <c r="T4" s="20" t="s">
        <v>95</v>
      </c>
    </row>
    <row r="5" spans="1:49" x14ac:dyDescent="0.2">
      <c r="A5" s="11" t="s">
        <v>121</v>
      </c>
      <c r="B5" s="11"/>
      <c r="C5" s="11"/>
      <c r="D5" s="11"/>
      <c r="E5" s="11"/>
      <c r="F5" s="31"/>
      <c r="G5" s="31"/>
      <c r="J5" s="28" t="s">
        <v>110</v>
      </c>
      <c r="K5" s="28" t="s">
        <v>110</v>
      </c>
      <c r="Q5" s="29" t="s">
        <v>110</v>
      </c>
      <c r="V5" s="28" t="s">
        <v>110</v>
      </c>
      <c r="AF5" s="28" t="s">
        <v>110</v>
      </c>
      <c r="AS5" t="s">
        <v>160</v>
      </c>
      <c r="AV5" t="s">
        <v>161</v>
      </c>
    </row>
    <row r="6" spans="1:49" ht="48" x14ac:dyDescent="0.2">
      <c r="A6" s="17" t="s">
        <v>25</v>
      </c>
      <c r="B6" s="17" t="s">
        <v>144</v>
      </c>
      <c r="C6" s="17" t="s">
        <v>148</v>
      </c>
      <c r="D6" s="54" t="s">
        <v>147</v>
      </c>
      <c r="E6" s="17" t="s">
        <v>162</v>
      </c>
      <c r="F6" s="17" t="s">
        <v>124</v>
      </c>
      <c r="H6" s="17" t="s">
        <v>114</v>
      </c>
      <c r="I6" s="17" t="s">
        <v>115</v>
      </c>
      <c r="J6" s="24" t="s">
        <v>81</v>
      </c>
      <c r="K6" s="21" t="s">
        <v>87</v>
      </c>
      <c r="L6" s="17" t="s">
        <v>83</v>
      </c>
      <c r="M6" s="17" t="s">
        <v>84</v>
      </c>
      <c r="N6" s="17" t="s">
        <v>85</v>
      </c>
      <c r="O6" s="17" t="s">
        <v>86</v>
      </c>
      <c r="P6" s="8"/>
      <c r="Q6" s="17" t="s">
        <v>111</v>
      </c>
      <c r="S6" s="24" t="s">
        <v>90</v>
      </c>
      <c r="T6" s="21" t="s">
        <v>87</v>
      </c>
      <c r="V6" s="17" t="s">
        <v>100</v>
      </c>
      <c r="W6" s="17" t="s">
        <v>105</v>
      </c>
      <c r="X6" s="17" t="s">
        <v>102</v>
      </c>
      <c r="Y6" s="17" t="s">
        <v>101</v>
      </c>
      <c r="Z6" s="17" t="s">
        <v>103</v>
      </c>
      <c r="AA6" s="17" t="s">
        <v>104</v>
      </c>
      <c r="AC6" s="17" t="s">
        <v>106</v>
      </c>
      <c r="AF6" s="17" t="s">
        <v>100</v>
      </c>
      <c r="AG6" s="17" t="s">
        <v>105</v>
      </c>
      <c r="AH6" s="17" t="s">
        <v>102</v>
      </c>
      <c r="AI6" s="17" t="s">
        <v>101</v>
      </c>
      <c r="AJ6" s="17" t="s">
        <v>103</v>
      </c>
      <c r="AK6" s="17" t="s">
        <v>104</v>
      </c>
      <c r="AM6" s="17" t="s">
        <v>106</v>
      </c>
      <c r="AR6" t="s">
        <v>121</v>
      </c>
      <c r="AS6" s="17" t="s">
        <v>101</v>
      </c>
      <c r="AT6" s="17" t="s">
        <v>104</v>
      </c>
      <c r="AV6" s="17" t="s">
        <v>101</v>
      </c>
      <c r="AW6" s="17" t="s">
        <v>104</v>
      </c>
    </row>
    <row r="7" spans="1:49" x14ac:dyDescent="0.2">
      <c r="A7" s="8" t="s">
        <v>117</v>
      </c>
      <c r="B7" s="8">
        <v>3001</v>
      </c>
      <c r="C7" s="50">
        <v>160.53818999999999</v>
      </c>
      <c r="D7" s="50">
        <f>C7*52</f>
        <v>8347.9858800000002</v>
      </c>
      <c r="E7" s="50">
        <v>158.43734449999999</v>
      </c>
      <c r="F7" s="50">
        <f>52*E7</f>
        <v>8238.7419140000002</v>
      </c>
      <c r="H7" s="18">
        <f>C7*52*B7</f>
        <v>25052305.625879999</v>
      </c>
      <c r="I7" s="18">
        <f>F7*B7</f>
        <v>24724464.483913999</v>
      </c>
      <c r="J7" s="51">
        <f>K7*F7</f>
        <v>411.93709570000004</v>
      </c>
      <c r="K7" s="26">
        <v>0.05</v>
      </c>
      <c r="L7" s="19">
        <f>B7*(F7-J7-Q7)</f>
        <v>23488241.259718299</v>
      </c>
      <c r="M7" s="19">
        <f t="shared" ref="M7:M10" si="0">L7*$D$2</f>
        <v>528485.42834366171</v>
      </c>
      <c r="N7" s="19">
        <f>H7*$D$1</f>
        <v>489644.55770420568</v>
      </c>
      <c r="O7" s="19">
        <f t="shared" ref="O7:O10" si="1">M7-N7</f>
        <v>38840.870639456029</v>
      </c>
      <c r="Q7">
        <v>0</v>
      </c>
      <c r="S7" s="34">
        <v>0</v>
      </c>
      <c r="T7" s="26">
        <f>S7/F7</f>
        <v>0</v>
      </c>
      <c r="V7" s="33">
        <v>110.2377</v>
      </c>
      <c r="W7">
        <f>B7*V7</f>
        <v>330823.33770000003</v>
      </c>
      <c r="X7">
        <f>W7/$W$13</f>
        <v>0.29600410304363828</v>
      </c>
      <c r="Y7">
        <f>X7</f>
        <v>0.29600410304363828</v>
      </c>
      <c r="Z7">
        <f>B7/$B$13</f>
        <v>0.2206293192177621</v>
      </c>
      <c r="AA7">
        <f>Z7</f>
        <v>0.2206293192177621</v>
      </c>
      <c r="AB7">
        <f>Y7*AA7</f>
        <v>6.5307183740182212E-2</v>
      </c>
      <c r="AC7" s="135">
        <f>1-AB13</f>
        <v>0.7268664384846647</v>
      </c>
      <c r="AD7">
        <f t="shared" ref="AD7:AD10" si="2">Y7*AA7</f>
        <v>6.5307183740182212E-2</v>
      </c>
      <c r="AF7">
        <f>N7/B7</f>
        <v>163.16046574615316</v>
      </c>
      <c r="AG7">
        <f>B7*AF7</f>
        <v>489644.55770420562</v>
      </c>
      <c r="AH7">
        <f>AG7/$AG$13</f>
        <v>0.33760367506776962</v>
      </c>
      <c r="AI7">
        <f>AH7</f>
        <v>0.33760367506776962</v>
      </c>
      <c r="AJ7">
        <f>B7/$B$13</f>
        <v>0.2206293192177621</v>
      </c>
      <c r="AK7">
        <f>AJ7</f>
        <v>0.2206293192177621</v>
      </c>
      <c r="AL7">
        <f>AI7*AK7</f>
        <v>7.4485268995616583E-2</v>
      </c>
      <c r="AM7" s="135">
        <f>1-AL13</f>
        <v>0.72433365137756445</v>
      </c>
      <c r="AN7">
        <f t="shared" ref="AN7:AN10" si="3">AI7*AK7</f>
        <v>7.4485268995616583E-2</v>
      </c>
      <c r="AS7">
        <f>Y7</f>
        <v>0.29600410304363828</v>
      </c>
      <c r="AT7">
        <f>AA7</f>
        <v>0.2206293192177621</v>
      </c>
      <c r="AV7">
        <f>AI7</f>
        <v>0.33760367506776962</v>
      </c>
      <c r="AW7">
        <f>AK7</f>
        <v>0.2206293192177621</v>
      </c>
    </row>
    <row r="8" spans="1:49" x14ac:dyDescent="0.2">
      <c r="A8" s="8" t="s">
        <v>119</v>
      </c>
      <c r="B8" s="8">
        <v>5053</v>
      </c>
      <c r="C8" s="50">
        <v>105.512298</v>
      </c>
      <c r="D8" s="50">
        <f t="shared" ref="D8:D10" si="4">C8*52</f>
        <v>5486.6394959999998</v>
      </c>
      <c r="E8" s="50">
        <v>104.4482021</v>
      </c>
      <c r="F8" s="50">
        <f>52*E8</f>
        <v>5431.3065091999997</v>
      </c>
      <c r="H8" s="18">
        <f>C8*52*B8</f>
        <v>27723989.373287998</v>
      </c>
      <c r="I8" s="18">
        <f>F8*B8</f>
        <v>27444391.7909876</v>
      </c>
      <c r="J8" s="51">
        <f t="shared" ref="J8:J10" si="5">K8*F8</f>
        <v>543.13065091999999</v>
      </c>
      <c r="K8" s="26">
        <v>0.1</v>
      </c>
      <c r="L8" s="19">
        <f>B8*(F8-J8-Q8)</f>
        <v>24699952.611888837</v>
      </c>
      <c r="M8" s="19">
        <f t="shared" si="0"/>
        <v>555748.93376749882</v>
      </c>
      <c r="N8" s="19">
        <f t="shared" ref="N8:N10" si="6">H8*$D$1</f>
        <v>541862.32266208285</v>
      </c>
      <c r="O8" s="19">
        <f t="shared" si="1"/>
        <v>13886.61110541597</v>
      </c>
      <c r="Q8">
        <v>0</v>
      </c>
      <c r="S8" s="34">
        <v>500</v>
      </c>
      <c r="T8" s="26">
        <f t="shared" ref="T8:T10" si="7">S8/F8</f>
        <v>9.2058881072732371E-2</v>
      </c>
      <c r="V8" s="33">
        <v>80.976028400000004</v>
      </c>
      <c r="W8">
        <f>B8*V8</f>
        <v>409171.87150520005</v>
      </c>
      <c r="X8">
        <f t="shared" ref="X8:X10" si="8">W8/$W$13</f>
        <v>0.36610643510711294</v>
      </c>
      <c r="Y8">
        <f>X8+Y7</f>
        <v>0.66211053815075127</v>
      </c>
      <c r="Z8">
        <f>B8/$B$13</f>
        <v>0.37148948684017058</v>
      </c>
      <c r="AA8">
        <f>Z8+AA7</f>
        <v>0.59211880605793266</v>
      </c>
      <c r="AB8">
        <f>(Y8-Y7)*(AA8-AA7)</f>
        <v>0.13600469170682561</v>
      </c>
      <c r="AC8" s="136"/>
      <c r="AD8">
        <f t="shared" si="2"/>
        <v>0.39204810132819812</v>
      </c>
      <c r="AF8">
        <f>N8/B8</f>
        <v>107.23576541897543</v>
      </c>
      <c r="AG8">
        <f>B8*AF8</f>
        <v>541862.32266208285</v>
      </c>
      <c r="AH8">
        <f t="shared" ref="AH8:AH10" si="9">AG8/$AG$13</f>
        <v>0.37360715774969899</v>
      </c>
      <c r="AI8">
        <f>AH8+AI7</f>
        <v>0.71121083281746866</v>
      </c>
      <c r="AJ8">
        <f>B8/$B$13</f>
        <v>0.37148948684017058</v>
      </c>
      <c r="AK8">
        <f>AJ8+AK7</f>
        <v>0.59211880605793266</v>
      </c>
      <c r="AL8">
        <f>(AI8-AI7)*(AK8-AK7)</f>
        <v>0.13879113131225035</v>
      </c>
      <c r="AM8" s="136"/>
      <c r="AN8">
        <f t="shared" si="3"/>
        <v>0.4211213091833475</v>
      </c>
      <c r="AS8">
        <f t="shared" ref="AS8:AS30" si="10">Y8</f>
        <v>0.66211053815075127</v>
      </c>
      <c r="AT8">
        <f t="shared" ref="AT8:AT30" si="11">AA8</f>
        <v>0.59211880605793266</v>
      </c>
      <c r="AV8">
        <f t="shared" ref="AV8:AV30" si="12">AI8</f>
        <v>0.71121083281746866</v>
      </c>
      <c r="AW8">
        <f t="shared" ref="AW8:AW30" si="13">AK8</f>
        <v>0.59211880605793266</v>
      </c>
    </row>
    <row r="9" spans="1:49" x14ac:dyDescent="0.2">
      <c r="A9" s="8" t="s">
        <v>120</v>
      </c>
      <c r="B9" s="8">
        <v>3458</v>
      </c>
      <c r="C9" s="50">
        <v>73.925838999999996</v>
      </c>
      <c r="D9" s="50">
        <f t="shared" si="4"/>
        <v>3844.1436279999998</v>
      </c>
      <c r="E9" s="50">
        <v>73.447842769999994</v>
      </c>
      <c r="F9" s="50">
        <f>52*E9</f>
        <v>3819.2878240399996</v>
      </c>
      <c r="H9" s="18">
        <f>C9*52*B9</f>
        <v>13293048.665624</v>
      </c>
      <c r="I9" s="18">
        <f>F9*B9</f>
        <v>13207097.295530319</v>
      </c>
      <c r="J9" s="51">
        <f t="shared" si="5"/>
        <v>572.89317360599989</v>
      </c>
      <c r="K9" s="26">
        <v>0.15</v>
      </c>
      <c r="L9" s="19">
        <f>B9*(F9-J9-Q9)</f>
        <v>11226032.70120077</v>
      </c>
      <c r="M9" s="19">
        <f t="shared" si="0"/>
        <v>252585.73577701731</v>
      </c>
      <c r="N9" s="19">
        <f t="shared" si="6"/>
        <v>259811.17393426783</v>
      </c>
      <c r="O9" s="19">
        <f t="shared" si="1"/>
        <v>-7225.4381572505226</v>
      </c>
      <c r="Q9">
        <v>0</v>
      </c>
      <c r="S9" s="34">
        <v>1000</v>
      </c>
      <c r="T9" s="26">
        <f t="shared" si="7"/>
        <v>0.2618289183930137</v>
      </c>
      <c r="V9" s="33">
        <v>63.9621511</v>
      </c>
      <c r="W9">
        <f>B9*V9</f>
        <v>221181.11850380001</v>
      </c>
      <c r="X9">
        <f t="shared" si="8"/>
        <v>0.19790175338922586</v>
      </c>
      <c r="Y9">
        <f t="shared" ref="Y9:Y10" si="14">X9+Y8</f>
        <v>0.86001229153997716</v>
      </c>
      <c r="Z9">
        <f>B9/$B$13</f>
        <v>0.25422731951183647</v>
      </c>
      <c r="AA9">
        <f t="shared" ref="AA9:AA10" si="15">Z9+AA8</f>
        <v>0.84634612556976907</v>
      </c>
      <c r="AB9">
        <f t="shared" ref="AB9:AB10" si="16">(Y9-Y8)*(AA9-AA8)</f>
        <v>5.0312032290835383E-2</v>
      </c>
      <c r="AC9" s="136"/>
      <c r="AD9">
        <f t="shared" si="2"/>
        <v>0.72786807088723837</v>
      </c>
      <c r="AF9">
        <f>N9/B9</f>
        <v>75.133364353460905</v>
      </c>
      <c r="AG9">
        <f>B9*AF9</f>
        <v>259811.1739342678</v>
      </c>
      <c r="AH9">
        <f t="shared" si="9"/>
        <v>0.17913648944683644</v>
      </c>
      <c r="AI9">
        <f t="shared" ref="AI9:AI10" si="17">AH9+AI8</f>
        <v>0.89034732226430513</v>
      </c>
      <c r="AJ9">
        <f>B9/$B$13</f>
        <v>0.25422731951183647</v>
      </c>
      <c r="AK9">
        <f t="shared" ref="AK9:AK10" si="18">AJ9+AK8</f>
        <v>0.84634612556976907</v>
      </c>
      <c r="AL9">
        <f t="shared" ref="AL9:AL10" si="19">(AI9-AI8)*(AK9-AK8)</f>
        <v>4.5541389538829607E-2</v>
      </c>
      <c r="AM9" s="136"/>
      <c r="AN9">
        <f t="shared" si="3"/>
        <v>0.75354200660981319</v>
      </c>
      <c r="AS9">
        <f t="shared" si="10"/>
        <v>0.86001229153997716</v>
      </c>
      <c r="AT9">
        <f t="shared" si="11"/>
        <v>0.84634612556976907</v>
      </c>
      <c r="AV9">
        <f t="shared" si="12"/>
        <v>0.89034732226430513</v>
      </c>
      <c r="AW9">
        <f t="shared" si="13"/>
        <v>0.84634612556976907</v>
      </c>
    </row>
    <row r="10" spans="1:49" x14ac:dyDescent="0.2">
      <c r="A10" s="8" t="s">
        <v>118</v>
      </c>
      <c r="B10" s="8">
        <v>2090</v>
      </c>
      <c r="C10" s="50">
        <v>74.870399000000006</v>
      </c>
      <c r="D10" s="50">
        <f t="shared" si="4"/>
        <v>3893.2607480000001</v>
      </c>
      <c r="E10" s="50">
        <v>74.759323319999993</v>
      </c>
      <c r="F10" s="50">
        <f>52*E10</f>
        <v>3887.4848126399997</v>
      </c>
      <c r="H10" s="18">
        <f>C10*52*B10</f>
        <v>8136914.9633200001</v>
      </c>
      <c r="I10" s="18">
        <f>F10*B10</f>
        <v>8124843.2584175998</v>
      </c>
      <c r="J10" s="51">
        <f t="shared" si="5"/>
        <v>777.49696252800004</v>
      </c>
      <c r="K10" s="26">
        <v>0.2</v>
      </c>
      <c r="L10" s="19">
        <f>B10*(F10-J10-Q10)</f>
        <v>6499874.6067340793</v>
      </c>
      <c r="M10" s="19">
        <f t="shared" si="0"/>
        <v>146247.17865151679</v>
      </c>
      <c r="N10" s="19">
        <f t="shared" si="6"/>
        <v>159035.10789744343</v>
      </c>
      <c r="O10" s="19">
        <f t="shared" si="1"/>
        <v>-12787.929245926643</v>
      </c>
      <c r="Q10">
        <v>0</v>
      </c>
      <c r="S10" s="34">
        <v>2000</v>
      </c>
      <c r="T10" s="26">
        <f t="shared" si="7"/>
        <v>0.51447146327030802</v>
      </c>
      <c r="V10" s="33">
        <v>74.858656100000005</v>
      </c>
      <c r="W10">
        <f>B10*V10</f>
        <v>156454.59124900002</v>
      </c>
      <c r="X10">
        <f t="shared" si="8"/>
        <v>0.13998770846002292</v>
      </c>
      <c r="Y10">
        <f t="shared" si="14"/>
        <v>1</v>
      </c>
      <c r="Z10">
        <f>B10/$B$13</f>
        <v>0.15365387443023085</v>
      </c>
      <c r="AA10">
        <f t="shared" si="15"/>
        <v>0.99999999999999989</v>
      </c>
      <c r="AB10">
        <f t="shared" si="16"/>
        <v>2.1509653777492109E-2</v>
      </c>
      <c r="AC10" s="136"/>
      <c r="AD10">
        <f t="shared" si="2"/>
        <v>0.99999999999999989</v>
      </c>
      <c r="AF10">
        <f>N10/B10</f>
        <v>76.093353060977719</v>
      </c>
      <c r="AG10">
        <f>B10*AF10</f>
        <v>159035.10789744343</v>
      </c>
      <c r="AH10">
        <f t="shared" si="9"/>
        <v>0.10965267773569499</v>
      </c>
      <c r="AI10">
        <f t="shared" si="17"/>
        <v>1.0000000000000002</v>
      </c>
      <c r="AJ10">
        <f>B10/$B$13</f>
        <v>0.15365387443023085</v>
      </c>
      <c r="AK10">
        <f t="shared" si="18"/>
        <v>0.99999999999999989</v>
      </c>
      <c r="AL10">
        <f t="shared" si="19"/>
        <v>1.6848558775739059E-2</v>
      </c>
      <c r="AM10" s="136"/>
      <c r="AN10">
        <f t="shared" si="3"/>
        <v>1</v>
      </c>
      <c r="AS10">
        <f t="shared" si="10"/>
        <v>1</v>
      </c>
      <c r="AT10">
        <f t="shared" si="11"/>
        <v>0.99999999999999989</v>
      </c>
      <c r="AV10">
        <f t="shared" si="12"/>
        <v>1.0000000000000002</v>
      </c>
      <c r="AW10">
        <f t="shared" si="13"/>
        <v>0.99999999999999989</v>
      </c>
    </row>
    <row r="11" spans="1:49" x14ac:dyDescent="0.2">
      <c r="A11" s="8"/>
      <c r="B11" s="8"/>
      <c r="C11" s="50"/>
      <c r="D11" s="50"/>
      <c r="E11" s="50"/>
      <c r="F11" s="50"/>
      <c r="I11" s="18"/>
      <c r="J11" s="52"/>
      <c r="K11" s="26"/>
      <c r="L11" s="18"/>
      <c r="M11" s="18"/>
      <c r="N11" s="18"/>
      <c r="O11" s="18"/>
      <c r="T11" s="26"/>
      <c r="V11" s="33"/>
      <c r="AC11" s="60"/>
      <c r="AM11" s="60"/>
    </row>
    <row r="12" spans="1:49" x14ac:dyDescent="0.2">
      <c r="A12" s="8"/>
      <c r="B12" s="8"/>
      <c r="C12" s="50"/>
      <c r="D12" s="50"/>
      <c r="E12" s="50"/>
      <c r="F12" s="50"/>
      <c r="I12" s="18"/>
      <c r="J12" s="52"/>
      <c r="K12" s="26"/>
      <c r="L12" s="18"/>
      <c r="M12" s="18"/>
      <c r="N12" s="18"/>
      <c r="O12" s="18"/>
      <c r="T12" s="26"/>
      <c r="V12" s="33"/>
      <c r="AC12" s="60"/>
      <c r="AM12" s="60"/>
    </row>
    <row r="13" spans="1:49" s="16" customFormat="1" x14ac:dyDescent="0.2">
      <c r="A13" s="16" t="s">
        <v>99</v>
      </c>
      <c r="B13" s="16">
        <f>SUM(B7:B12)</f>
        <v>13602</v>
      </c>
      <c r="C13" s="19"/>
      <c r="D13" s="19"/>
      <c r="E13" s="19">
        <f>SUM(E7:E10)/4</f>
        <v>102.7731781725</v>
      </c>
      <c r="F13" s="19">
        <f>SUM(F7:F12)</f>
        <v>21376.82105988</v>
      </c>
      <c r="H13" s="19">
        <f>SUM(H7:H12)</f>
        <v>74206258.628111988</v>
      </c>
      <c r="I13" s="19">
        <f>SUM(I7:I12)</f>
        <v>73500796.828849524</v>
      </c>
      <c r="J13" s="51">
        <f>SUM(J7:J12)</f>
        <v>2305.4578827539999</v>
      </c>
      <c r="K13" s="22"/>
      <c r="L13" s="19">
        <f>SUM(L7:L12)</f>
        <v>65914101.17954199</v>
      </c>
      <c r="M13" s="19">
        <f>L13*$D$2</f>
        <v>1483067.2765396948</v>
      </c>
      <c r="N13" s="19">
        <f>I13*$D$1</f>
        <v>1436564.9889322126</v>
      </c>
      <c r="O13" s="19">
        <f>M13-N13</f>
        <v>46502.287607482169</v>
      </c>
      <c r="Q13" s="16">
        <f>SUM(Q7:Q12)</f>
        <v>0</v>
      </c>
      <c r="S13" s="25">
        <f>SUM(S7:S12)</f>
        <v>3500</v>
      </c>
      <c r="T13" s="22"/>
      <c r="V13" s="44"/>
      <c r="W13" s="16">
        <f>SUM(W7:W12)</f>
        <v>1117630.9189580001</v>
      </c>
      <c r="AB13" s="16">
        <f>SUM(AB7:AB12)</f>
        <v>0.2731335615153353</v>
      </c>
      <c r="AC13" s="60"/>
      <c r="AG13" s="16">
        <f>SUM(AG7:AG12)</f>
        <v>1450353.1621979997</v>
      </c>
      <c r="AL13" s="16">
        <f>SUM(AL7:AL12)</f>
        <v>0.27566634862243561</v>
      </c>
      <c r="AM13" s="60"/>
      <c r="AS13"/>
      <c r="AT13"/>
      <c r="AU13"/>
      <c r="AV13"/>
      <c r="AW13"/>
    </row>
    <row r="14" spans="1:49" x14ac:dyDescent="0.2">
      <c r="C14" s="18"/>
      <c r="D14" s="18"/>
      <c r="E14" s="18"/>
      <c r="F14" s="18"/>
      <c r="I14" s="18"/>
      <c r="J14" s="52"/>
      <c r="L14" s="18"/>
      <c r="M14" s="18"/>
      <c r="N14" s="18"/>
      <c r="O14" s="18"/>
      <c r="V14" s="33"/>
    </row>
    <row r="15" spans="1:49" x14ac:dyDescent="0.2">
      <c r="A15" s="11" t="s">
        <v>122</v>
      </c>
      <c r="B15" s="11"/>
      <c r="C15" s="53"/>
      <c r="D15" s="53"/>
      <c r="E15" s="53"/>
      <c r="F15" s="53"/>
      <c r="I15" s="18"/>
      <c r="J15" s="52"/>
      <c r="L15" s="18"/>
      <c r="M15" s="18"/>
      <c r="N15" s="18"/>
      <c r="O15" s="18"/>
      <c r="V15" s="33"/>
      <c r="AS15" t="s">
        <v>160</v>
      </c>
      <c r="AV15" t="s">
        <v>161</v>
      </c>
    </row>
    <row r="16" spans="1:49" ht="46" customHeight="1" x14ac:dyDescent="0.2">
      <c r="A16" s="17" t="s">
        <v>25</v>
      </c>
      <c r="B16" s="17" t="s">
        <v>144</v>
      </c>
      <c r="C16" s="17" t="s">
        <v>145</v>
      </c>
      <c r="D16" s="54" t="s">
        <v>146</v>
      </c>
      <c r="E16" s="17" t="s">
        <v>162</v>
      </c>
      <c r="F16" s="54" t="s">
        <v>124</v>
      </c>
      <c r="H16" s="17" t="s">
        <v>114</v>
      </c>
      <c r="I16" s="17" t="s">
        <v>82</v>
      </c>
      <c r="J16" s="55" t="s">
        <v>81</v>
      </c>
      <c r="K16" s="21" t="s">
        <v>87</v>
      </c>
      <c r="L16" s="54" t="s">
        <v>83</v>
      </c>
      <c r="M16" s="54" t="s">
        <v>84</v>
      </c>
      <c r="N16" s="54" t="s">
        <v>85</v>
      </c>
      <c r="O16" s="54" t="s">
        <v>86</v>
      </c>
      <c r="P16" s="8"/>
      <c r="Q16" s="17" t="s">
        <v>88</v>
      </c>
      <c r="S16" s="24" t="s">
        <v>90</v>
      </c>
      <c r="T16" s="21" t="s">
        <v>87</v>
      </c>
      <c r="V16" s="17" t="s">
        <v>100</v>
      </c>
      <c r="W16" s="17" t="s">
        <v>105</v>
      </c>
      <c r="X16" s="17" t="s">
        <v>102</v>
      </c>
      <c r="Y16" s="17" t="s">
        <v>101</v>
      </c>
      <c r="Z16" s="17" t="s">
        <v>103</v>
      </c>
      <c r="AA16" s="17" t="s">
        <v>104</v>
      </c>
      <c r="AC16" s="17" t="s">
        <v>106</v>
      </c>
      <c r="AF16" s="17" t="s">
        <v>100</v>
      </c>
      <c r="AG16" s="17" t="s">
        <v>105</v>
      </c>
      <c r="AH16" s="17" t="s">
        <v>102</v>
      </c>
      <c r="AI16" s="17" t="s">
        <v>101</v>
      </c>
      <c r="AJ16" s="17" t="s">
        <v>103</v>
      </c>
      <c r="AK16" s="17" t="s">
        <v>104</v>
      </c>
      <c r="AM16" s="17" t="s">
        <v>106</v>
      </c>
      <c r="AR16" t="s">
        <v>122</v>
      </c>
      <c r="AS16" s="17" t="s">
        <v>101</v>
      </c>
      <c r="AT16" s="17" t="s">
        <v>104</v>
      </c>
      <c r="AV16" s="17" t="s">
        <v>101</v>
      </c>
      <c r="AW16" s="17" t="s">
        <v>104</v>
      </c>
    </row>
    <row r="17" spans="1:49" x14ac:dyDescent="0.2">
      <c r="A17" s="8" t="s">
        <v>117</v>
      </c>
      <c r="B17" s="8">
        <v>286</v>
      </c>
      <c r="C17" s="50">
        <v>179.43699699999999</v>
      </c>
      <c r="D17" s="50">
        <f>C17*52</f>
        <v>9330.7238440000001</v>
      </c>
      <c r="E17" s="50">
        <v>179.0906502</v>
      </c>
      <c r="F17" s="50">
        <f>52*E17</f>
        <v>9312.7138104000005</v>
      </c>
      <c r="H17" s="18">
        <f>C17*52*B17</f>
        <v>2668587.019384</v>
      </c>
      <c r="I17" s="18">
        <f>F17*B17</f>
        <v>2663436.1497744001</v>
      </c>
      <c r="J17" s="51">
        <f>K17*F17</f>
        <v>465.63569052000003</v>
      </c>
      <c r="K17" s="43">
        <v>0.05</v>
      </c>
      <c r="L17" s="19">
        <f>B17*(F17-J17-Q17)</f>
        <v>2244264.3422856797</v>
      </c>
      <c r="M17" s="19">
        <f t="shared" ref="M17:M20" si="20">L17*$D$2</f>
        <v>50495.947701427787</v>
      </c>
      <c r="N17" s="19">
        <f>H17*$D$1</f>
        <v>52157.239749288143</v>
      </c>
      <c r="O17" s="19">
        <f t="shared" ref="O17:O20" si="21">M17-N17</f>
        <v>-1661.2920478603555</v>
      </c>
      <c r="Q17">
        <v>1000</v>
      </c>
      <c r="S17" s="23">
        <v>0</v>
      </c>
      <c r="T17" s="26">
        <f>S17/F17</f>
        <v>0</v>
      </c>
      <c r="V17" s="33">
        <v>177.238495</v>
      </c>
      <c r="W17">
        <f>B17*V17</f>
        <v>50690.209569999999</v>
      </c>
      <c r="X17">
        <f t="shared" ref="X17:X20" si="22">W17/$W$23</f>
        <v>0.25831879498062893</v>
      </c>
      <c r="Y17">
        <f>X17</f>
        <v>0.25831879498062893</v>
      </c>
      <c r="Z17">
        <f>B17/$B$23</f>
        <v>0.18828176431863067</v>
      </c>
      <c r="AA17">
        <f>Z17</f>
        <v>0.18828176431863067</v>
      </c>
      <c r="AB17">
        <f>Y17*AA17</f>
        <v>4.8636718475615452E-2</v>
      </c>
      <c r="AC17" s="135">
        <f>1-AB23</f>
        <v>0.72617025194538742</v>
      </c>
      <c r="AD17">
        <f t="shared" ref="AD17:AD20" si="23">Y17*AA17</f>
        <v>4.8636718475615452E-2</v>
      </c>
      <c r="AF17">
        <f>N17/B17</f>
        <v>182.36797115135715</v>
      </c>
      <c r="AG17">
        <f>B17*AF17</f>
        <v>52157.239749288143</v>
      </c>
      <c r="AH17">
        <f>AG17/$AG$23</f>
        <v>0.27432259732756054</v>
      </c>
      <c r="AI17">
        <f>AH17</f>
        <v>0.27432259732756054</v>
      </c>
      <c r="AJ17">
        <f>B17/$B$23</f>
        <v>0.18828176431863067</v>
      </c>
      <c r="AK17">
        <f>AJ17</f>
        <v>0.18828176431863067</v>
      </c>
      <c r="AL17">
        <f>AI17*AK17</f>
        <v>5.1649942617302373E-2</v>
      </c>
      <c r="AM17" s="135">
        <f>1-AL23</f>
        <v>0.72589611768027518</v>
      </c>
      <c r="AN17">
        <f t="shared" ref="AN17:AN20" si="24">AI17*AK17</f>
        <v>5.1649942617302373E-2</v>
      </c>
      <c r="AS17">
        <f t="shared" si="10"/>
        <v>0.25831879498062893</v>
      </c>
      <c r="AT17">
        <f t="shared" si="11"/>
        <v>0.18828176431863067</v>
      </c>
      <c r="AV17">
        <f t="shared" si="12"/>
        <v>0.27432259732756054</v>
      </c>
      <c r="AW17">
        <f t="shared" si="13"/>
        <v>0.18828176431863067</v>
      </c>
    </row>
    <row r="18" spans="1:49" x14ac:dyDescent="0.2">
      <c r="A18" s="8" t="s">
        <v>119</v>
      </c>
      <c r="B18" s="8">
        <v>551</v>
      </c>
      <c r="C18" s="50">
        <v>131.273675</v>
      </c>
      <c r="D18" s="50">
        <f t="shared" ref="D18:D20" si="25">C18*52</f>
        <v>6826.2311</v>
      </c>
      <c r="E18" s="50">
        <v>131.2475704</v>
      </c>
      <c r="F18" s="50">
        <f>52*E18</f>
        <v>6824.8736607999999</v>
      </c>
      <c r="H18" s="18">
        <f>C18*52*B18</f>
        <v>3761253.3361</v>
      </c>
      <c r="I18" s="18">
        <f>F18*B18</f>
        <v>3760505.3871007999</v>
      </c>
      <c r="J18" s="51">
        <f t="shared" ref="J18:J20" si="26">K18*F18</f>
        <v>682.48736608000002</v>
      </c>
      <c r="K18" s="43">
        <v>0.1</v>
      </c>
      <c r="L18" s="19">
        <f>B18*(F18-J18-Q18)</f>
        <v>2833454.8483907199</v>
      </c>
      <c r="M18" s="19">
        <f t="shared" si="20"/>
        <v>63752.734088791192</v>
      </c>
      <c r="N18" s="19">
        <f t="shared" ref="N18:N20" si="27">H18*$D$1</f>
        <v>73513.282716207526</v>
      </c>
      <c r="O18" s="19">
        <f t="shared" si="21"/>
        <v>-9760.5486274163341</v>
      </c>
      <c r="Q18">
        <v>1000</v>
      </c>
      <c r="S18" s="23">
        <v>1000</v>
      </c>
      <c r="T18" s="26">
        <f t="shared" ref="T18:T20" si="28">S18/F18</f>
        <v>0.14652285883967289</v>
      </c>
      <c r="V18" s="33">
        <v>135.814842</v>
      </c>
      <c r="W18">
        <f>B18*V18</f>
        <v>74833.977941999998</v>
      </c>
      <c r="X18">
        <f t="shared" si="22"/>
        <v>0.38135614686874547</v>
      </c>
      <c r="Y18">
        <f>X18+Y17</f>
        <v>0.63967494184937435</v>
      </c>
      <c r="Z18">
        <f>B18/$B$23</f>
        <v>0.36273864384463461</v>
      </c>
      <c r="AA18">
        <f>Z18+AA17</f>
        <v>0.55102040816326525</v>
      </c>
      <c r="AB18">
        <f>(Y18-Y17)*(AA18-AA17)</f>
        <v>0.13833261153698401</v>
      </c>
      <c r="AC18" s="136"/>
      <c r="AD18">
        <f t="shared" si="23"/>
        <v>0.35247394754965522</v>
      </c>
      <c r="AF18">
        <f>N18/B18</f>
        <v>133.41793596407899</v>
      </c>
      <c r="AG18">
        <f>B18*AF18</f>
        <v>73513.282716207526</v>
      </c>
      <c r="AH18">
        <f t="shared" ref="AH18:AH20" si="29">AG18/$AG$23</f>
        <v>0.38664535833801572</v>
      </c>
      <c r="AI18">
        <f>AH18+AI17</f>
        <v>0.66096795566557631</v>
      </c>
      <c r="AJ18">
        <f>B18/$B$23</f>
        <v>0.36273864384463461</v>
      </c>
      <c r="AK18">
        <f>AJ18+AK17</f>
        <v>0.55102040816326525</v>
      </c>
      <c r="AL18">
        <f>(AI18-AI17)*(AK18-AK17)</f>
        <v>0.14025121293235462</v>
      </c>
      <c r="AM18" s="136"/>
      <c r="AN18">
        <f t="shared" si="24"/>
        <v>0.36420683271368487</v>
      </c>
      <c r="AS18">
        <f t="shared" si="10"/>
        <v>0.63967494184937435</v>
      </c>
      <c r="AT18">
        <f t="shared" si="11"/>
        <v>0.55102040816326525</v>
      </c>
      <c r="AV18">
        <f t="shared" si="12"/>
        <v>0.66096795566557631</v>
      </c>
      <c r="AW18">
        <f t="shared" si="13"/>
        <v>0.55102040816326525</v>
      </c>
    </row>
    <row r="19" spans="1:49" x14ac:dyDescent="0.2">
      <c r="A19" s="8" t="s">
        <v>120</v>
      </c>
      <c r="B19" s="8">
        <v>409</v>
      </c>
      <c r="C19" s="50">
        <v>108.666027</v>
      </c>
      <c r="D19" s="50">
        <f t="shared" si="25"/>
        <v>5650.6334040000002</v>
      </c>
      <c r="E19" s="50">
        <v>108.86513189999999</v>
      </c>
      <c r="F19" s="50">
        <f>52*E19</f>
        <v>5660.9868587999999</v>
      </c>
      <c r="H19" s="18">
        <f>C19*52*B19</f>
        <v>2311109.0622359999</v>
      </c>
      <c r="I19" s="18">
        <f>F19*B19</f>
        <v>2315343.6252492</v>
      </c>
      <c r="J19" s="51">
        <f t="shared" si="26"/>
        <v>849.14802881999992</v>
      </c>
      <c r="K19" s="43">
        <v>0.15</v>
      </c>
      <c r="L19" s="19">
        <f>B19*(F19-J19-Q19)</f>
        <v>1559042.0814618201</v>
      </c>
      <c r="M19" s="19">
        <f t="shared" si="20"/>
        <v>35078.44683289095</v>
      </c>
      <c r="N19" s="19">
        <f t="shared" si="27"/>
        <v>45170.372399405765</v>
      </c>
      <c r="O19" s="19">
        <f t="shared" si="21"/>
        <v>-10091.925566514816</v>
      </c>
      <c r="Q19">
        <v>1000</v>
      </c>
      <c r="S19" s="23">
        <v>2000</v>
      </c>
      <c r="T19" s="26">
        <f t="shared" si="28"/>
        <v>0.35329529106590335</v>
      </c>
      <c r="V19" s="33">
        <v>118.43664800000001</v>
      </c>
      <c r="W19">
        <f>B19*V19</f>
        <v>48440.589032000003</v>
      </c>
      <c r="X19">
        <f t="shared" si="22"/>
        <v>0.24685466272571405</v>
      </c>
      <c r="Y19">
        <f t="shared" ref="Y19:Y20" si="30">X19+Y18</f>
        <v>0.88652960457508834</v>
      </c>
      <c r="Z19">
        <f>B19/$B$23</f>
        <v>0.26925608953258723</v>
      </c>
      <c r="AA19">
        <f t="shared" ref="AA19:AA20" si="31">Z19+AA18</f>
        <v>0.82027649769585254</v>
      </c>
      <c r="AB19">
        <f t="shared" ref="AB19:AB20" si="32">(Y19-Y18)*(AA19-AA18)</f>
        <v>6.6467121168411483E-2</v>
      </c>
      <c r="AC19" s="136"/>
      <c r="AD19">
        <f t="shared" si="23"/>
        <v>0.72719939914454246</v>
      </c>
      <c r="AF19">
        <f>N19/B19</f>
        <v>110.44100831150554</v>
      </c>
      <c r="AG19">
        <f>B19*AF19</f>
        <v>45170.372399405765</v>
      </c>
      <c r="AH19">
        <f t="shared" si="29"/>
        <v>0.23757495485614269</v>
      </c>
      <c r="AI19">
        <f t="shared" ref="AI19:AI20" si="33">AH19+AI18</f>
        <v>0.89854291052171897</v>
      </c>
      <c r="AJ19">
        <f>B19/$B$23</f>
        <v>0.26925608953258723</v>
      </c>
      <c r="AK19">
        <f t="shared" ref="AK19:AK20" si="34">AJ19+AK18</f>
        <v>0.82027649769585254</v>
      </c>
      <c r="AL19">
        <f t="shared" ref="AL19:AL20" si="35">(AI19-AI18)*(AK19-AK18)</f>
        <v>6.3968503315445929E-2</v>
      </c>
      <c r="AM19" s="136"/>
      <c r="AN19">
        <f t="shared" si="24"/>
        <v>0.7370536316721934</v>
      </c>
      <c r="AS19">
        <f t="shared" si="10"/>
        <v>0.88652960457508834</v>
      </c>
      <c r="AT19">
        <f t="shared" si="11"/>
        <v>0.82027649769585254</v>
      </c>
      <c r="AV19">
        <f t="shared" si="12"/>
        <v>0.89854291052171897</v>
      </c>
      <c r="AW19">
        <f t="shared" si="13"/>
        <v>0.82027649769585254</v>
      </c>
    </row>
    <row r="20" spans="1:49" x14ac:dyDescent="0.2">
      <c r="A20" s="8" t="s">
        <v>118</v>
      </c>
      <c r="B20" s="8">
        <v>273</v>
      </c>
      <c r="C20" s="50">
        <v>69.524231</v>
      </c>
      <c r="D20" s="50">
        <f t="shared" si="25"/>
        <v>3615.2600120000002</v>
      </c>
      <c r="E20" s="50">
        <v>69.865133049999997</v>
      </c>
      <c r="F20" s="50">
        <f>52*E20</f>
        <v>3632.9869185999996</v>
      </c>
      <c r="H20" s="18">
        <f>C20*52*B20</f>
        <v>986965.98327600001</v>
      </c>
      <c r="I20" s="18">
        <f>F20*B20</f>
        <v>991805.42877779994</v>
      </c>
      <c r="J20" s="51">
        <f t="shared" si="26"/>
        <v>726.59738371999993</v>
      </c>
      <c r="K20" s="43">
        <v>0.2</v>
      </c>
      <c r="L20" s="19">
        <f>B20*(F20-J20-Q20)</f>
        <v>520444.34302223992</v>
      </c>
      <c r="M20" s="19">
        <f t="shared" si="20"/>
        <v>11709.997718000397</v>
      </c>
      <c r="N20" s="19">
        <f t="shared" si="27"/>
        <v>19290.141576871258</v>
      </c>
      <c r="O20" s="19">
        <f t="shared" si="21"/>
        <v>-7580.1438588708606</v>
      </c>
      <c r="Q20">
        <v>1000</v>
      </c>
      <c r="S20" s="23">
        <v>3000</v>
      </c>
      <c r="T20" s="26">
        <f t="shared" si="28"/>
        <v>0.82576680489564602</v>
      </c>
      <c r="V20" s="33">
        <v>81.562025399999996</v>
      </c>
      <c r="W20">
        <f>B20*V20</f>
        <v>22266.432934199998</v>
      </c>
      <c r="X20">
        <f t="shared" si="22"/>
        <v>0.11347039542491151</v>
      </c>
      <c r="Y20">
        <f t="shared" si="30"/>
        <v>0.99999999999999989</v>
      </c>
      <c r="Z20">
        <f>B20/$B$23</f>
        <v>0.17972350230414746</v>
      </c>
      <c r="AA20">
        <f t="shared" si="31"/>
        <v>1</v>
      </c>
      <c r="AB20">
        <f t="shared" si="32"/>
        <v>2.0393296873601616E-2</v>
      </c>
      <c r="AC20" s="136"/>
      <c r="AD20">
        <f t="shared" si="23"/>
        <v>0.99999999999999989</v>
      </c>
      <c r="AF20">
        <f>N20/B20</f>
        <v>70.65985925593867</v>
      </c>
      <c r="AG20">
        <f>B20*AF20</f>
        <v>19290.141576871258</v>
      </c>
      <c r="AH20">
        <f t="shared" si="29"/>
        <v>0.10145708947828111</v>
      </c>
      <c r="AI20">
        <f t="shared" si="33"/>
        <v>1</v>
      </c>
      <c r="AJ20">
        <f>B20/$B$23</f>
        <v>0.17972350230414746</v>
      </c>
      <c r="AK20">
        <f t="shared" si="34"/>
        <v>1</v>
      </c>
      <c r="AL20">
        <f t="shared" si="35"/>
        <v>1.8234223454621935E-2</v>
      </c>
      <c r="AM20" s="136"/>
      <c r="AN20">
        <f t="shared" si="24"/>
        <v>1</v>
      </c>
      <c r="AS20">
        <f t="shared" si="10"/>
        <v>0.99999999999999989</v>
      </c>
      <c r="AT20">
        <f t="shared" si="11"/>
        <v>1</v>
      </c>
      <c r="AV20">
        <f t="shared" si="12"/>
        <v>1</v>
      </c>
      <c r="AW20">
        <f t="shared" si="13"/>
        <v>1</v>
      </c>
    </row>
    <row r="21" spans="1:49" x14ac:dyDescent="0.2">
      <c r="A21" s="8"/>
      <c r="B21" s="8"/>
      <c r="C21" s="50"/>
      <c r="D21" s="50"/>
      <c r="E21" s="50"/>
      <c r="F21" s="50"/>
      <c r="I21" s="18"/>
      <c r="J21" s="52"/>
      <c r="K21" s="26"/>
      <c r="L21" s="18"/>
      <c r="M21" s="18"/>
      <c r="N21" s="18"/>
      <c r="O21" s="18"/>
      <c r="T21" s="26"/>
      <c r="AC21" s="60"/>
      <c r="AM21" s="60"/>
    </row>
    <row r="22" spans="1:49" x14ac:dyDescent="0.2">
      <c r="A22" s="8"/>
      <c r="B22" s="8"/>
      <c r="C22" s="50"/>
      <c r="D22" s="50"/>
      <c r="E22" s="50"/>
      <c r="F22" s="50"/>
      <c r="I22" s="18"/>
      <c r="J22" s="52"/>
      <c r="K22" s="26"/>
      <c r="L22" s="18"/>
      <c r="M22" s="18"/>
      <c r="N22" s="18"/>
      <c r="O22" s="18"/>
      <c r="T22" s="26"/>
      <c r="AC22" s="60"/>
      <c r="AM22" s="60"/>
    </row>
    <row r="23" spans="1:49" s="16" customFormat="1" x14ac:dyDescent="0.2">
      <c r="B23" s="16">
        <f>SUM(B17:B22)</f>
        <v>1519</v>
      </c>
      <c r="C23" s="19"/>
      <c r="D23" s="19"/>
      <c r="E23" s="19">
        <f>SUM(E17:E20)/4</f>
        <v>122.2671213875</v>
      </c>
      <c r="F23" s="19">
        <f>SUM(F17:F22)</f>
        <v>25431.561248599999</v>
      </c>
      <c r="H23" s="19">
        <f>SUM(H17:H22)</f>
        <v>9727915.4009959996</v>
      </c>
      <c r="I23" s="19">
        <f>SUM(I17:I22)</f>
        <v>9731090.5909021981</v>
      </c>
      <c r="J23" s="51">
        <f>SUM(J17:J22)</f>
        <v>2723.8684691399999</v>
      </c>
      <c r="K23" s="22"/>
      <c r="L23" s="19">
        <f>SUM(L17:L22)</f>
        <v>7157205.6151604597</v>
      </c>
      <c r="M23" s="19">
        <f>L23*$D$2</f>
        <v>161037.12634111033</v>
      </c>
      <c r="N23" s="19">
        <f>I23*$D$1</f>
        <v>190193.09517921845</v>
      </c>
      <c r="O23" s="19">
        <f>M23-N23</f>
        <v>-29155.968838108121</v>
      </c>
      <c r="Q23" s="16">
        <f>SUM(Q17:Q22)</f>
        <v>4000</v>
      </c>
      <c r="S23" s="25">
        <f>SUM(S17:S22)</f>
        <v>6000</v>
      </c>
      <c r="T23" s="22"/>
      <c r="W23" s="16">
        <f>SUM(W17:W22)</f>
        <v>196231.20947820001</v>
      </c>
      <c r="AB23" s="16">
        <f>SUM(AB17:AB22)</f>
        <v>0.27382974805461258</v>
      </c>
      <c r="AC23" s="60"/>
      <c r="AG23" s="16">
        <f>SUM(AG17:AG22)</f>
        <v>190131.03644177268</v>
      </c>
      <c r="AL23" s="16">
        <f>SUM(AL17:AL22)</f>
        <v>0.27410388231972488</v>
      </c>
      <c r="AM23" s="60"/>
      <c r="AS23"/>
      <c r="AT23"/>
      <c r="AU23"/>
      <c r="AV23"/>
      <c r="AW23"/>
    </row>
    <row r="24" spans="1:49" x14ac:dyDescent="0.2">
      <c r="C24" s="18"/>
      <c r="D24" s="18"/>
      <c r="E24" s="18"/>
      <c r="F24" s="18"/>
      <c r="I24" s="18"/>
      <c r="J24" s="52"/>
      <c r="L24" s="18"/>
      <c r="M24" s="18"/>
      <c r="N24" s="18"/>
      <c r="O24" s="18"/>
    </row>
    <row r="25" spans="1:49" x14ac:dyDescent="0.2">
      <c r="A25" t="s">
        <v>134</v>
      </c>
      <c r="C25" s="18"/>
      <c r="D25" s="18"/>
      <c r="E25" s="18"/>
      <c r="F25" s="18"/>
      <c r="J25" s="52"/>
      <c r="L25" s="18"/>
      <c r="M25" s="18"/>
      <c r="N25" s="18"/>
      <c r="O25" s="18"/>
      <c r="S25" s="25"/>
      <c r="AS25" t="s">
        <v>160</v>
      </c>
      <c r="AV25" t="s">
        <v>161</v>
      </c>
    </row>
    <row r="26" spans="1:49" ht="48" x14ac:dyDescent="0.2">
      <c r="A26" s="35" t="s">
        <v>25</v>
      </c>
      <c r="B26" s="17" t="s">
        <v>144</v>
      </c>
      <c r="C26" s="17" t="s">
        <v>145</v>
      </c>
      <c r="D26" s="54" t="s">
        <v>146</v>
      </c>
      <c r="E26" s="17" t="s">
        <v>162</v>
      </c>
      <c r="F26" s="54" t="s">
        <v>124</v>
      </c>
      <c r="G26" s="33"/>
      <c r="H26" s="35" t="s">
        <v>114</v>
      </c>
      <c r="I26" s="36" t="s">
        <v>115</v>
      </c>
      <c r="J26" s="57" t="s">
        <v>81</v>
      </c>
      <c r="K26" s="37" t="s">
        <v>87</v>
      </c>
      <c r="L26" s="56" t="s">
        <v>83</v>
      </c>
      <c r="M26" s="56" t="s">
        <v>84</v>
      </c>
      <c r="N26" s="56" t="s">
        <v>85</v>
      </c>
      <c r="O26" s="56" t="s">
        <v>86</v>
      </c>
      <c r="P26" s="38"/>
      <c r="Q26" s="36" t="s">
        <v>111</v>
      </c>
      <c r="R26" s="33"/>
      <c r="S26" s="39" t="s">
        <v>90</v>
      </c>
      <c r="T26" s="37" t="s">
        <v>87</v>
      </c>
      <c r="U26" s="33"/>
      <c r="V26" s="35" t="s">
        <v>100</v>
      </c>
      <c r="W26" s="36" t="s">
        <v>105</v>
      </c>
      <c r="X26" s="36" t="s">
        <v>102</v>
      </c>
      <c r="Y26" s="36" t="s">
        <v>101</v>
      </c>
      <c r="Z26" s="36" t="s">
        <v>103</v>
      </c>
      <c r="AA26" s="36" t="s">
        <v>104</v>
      </c>
      <c r="AB26" s="33"/>
      <c r="AC26" s="35" t="s">
        <v>106</v>
      </c>
      <c r="AD26" s="33"/>
      <c r="AE26" s="33"/>
      <c r="AF26" s="35" t="s">
        <v>100</v>
      </c>
      <c r="AG26" s="36" t="s">
        <v>105</v>
      </c>
      <c r="AH26" s="36" t="s">
        <v>102</v>
      </c>
      <c r="AI26" s="36" t="s">
        <v>101</v>
      </c>
      <c r="AJ26" s="36" t="s">
        <v>103</v>
      </c>
      <c r="AK26" s="36" t="s">
        <v>104</v>
      </c>
      <c r="AL26" s="33"/>
      <c r="AM26" s="35" t="s">
        <v>106</v>
      </c>
      <c r="AN26" s="33"/>
      <c r="AR26" t="s">
        <v>134</v>
      </c>
      <c r="AS26" s="17" t="s">
        <v>101</v>
      </c>
      <c r="AT26" s="17" t="s">
        <v>104</v>
      </c>
      <c r="AV26" s="17" t="s">
        <v>101</v>
      </c>
      <c r="AW26" s="17" t="s">
        <v>104</v>
      </c>
    </row>
    <row r="27" spans="1:49" x14ac:dyDescent="0.2">
      <c r="A27" s="40" t="s">
        <v>117</v>
      </c>
      <c r="B27" s="41">
        <f>(B7+B17)</f>
        <v>3287</v>
      </c>
      <c r="C27" s="58">
        <f>(C7*B7+C17*B17)/B27</f>
        <v>162.18256444539091</v>
      </c>
      <c r="D27" s="50">
        <f>C27*52</f>
        <v>8433.4933511603267</v>
      </c>
      <c r="E27" s="58">
        <f>(E7*B7+E17*B17)/B27</f>
        <v>160.23437687912991</v>
      </c>
      <c r="F27" s="50">
        <f>52*E27</f>
        <v>8332.1875977147556</v>
      </c>
      <c r="G27" s="33"/>
      <c r="H27" s="42">
        <f>C27*52*B27</f>
        <v>27720892.645263992</v>
      </c>
      <c r="I27" s="42">
        <f>F27*B27</f>
        <v>27387900.633688401</v>
      </c>
      <c r="J27" s="59">
        <f>K27*F27</f>
        <v>416.60937988573778</v>
      </c>
      <c r="K27" s="43">
        <v>0.05</v>
      </c>
      <c r="L27" s="45">
        <f>B27*(F27-J27-Q27)</f>
        <v>26018505.60200398</v>
      </c>
      <c r="M27" s="45">
        <f t="shared" ref="M27:M30" si="36">L27*$D$2</f>
        <v>585416.37604508956</v>
      </c>
      <c r="N27" s="45">
        <f>H27*$D$1</f>
        <v>541801.79745349369</v>
      </c>
      <c r="O27" s="45">
        <f t="shared" ref="O27:O30" si="37">M27-N27</f>
        <v>43614.57859159587</v>
      </c>
      <c r="P27" s="33"/>
      <c r="Q27" s="33"/>
      <c r="R27" s="33"/>
      <c r="S27" s="32">
        <v>0</v>
      </c>
      <c r="T27" s="43">
        <v>0</v>
      </c>
      <c r="U27" s="33"/>
      <c r="V27">
        <f>(V7*B7+V17*B17)/B27</f>
        <v>116.06740105567388</v>
      </c>
      <c r="W27">
        <f>B27*V27</f>
        <v>381513.54727000004</v>
      </c>
      <c r="X27">
        <f>W27/$W$33</f>
        <v>0.29037563303852088</v>
      </c>
      <c r="Y27">
        <f>X27</f>
        <v>0.29037563303852088</v>
      </c>
      <c r="Z27">
        <f>B27/$B$33</f>
        <v>0.21737980292308709</v>
      </c>
      <c r="AA27">
        <f>Z27</f>
        <v>0.21737980292308709</v>
      </c>
      <c r="AB27">
        <f>Y27*AA27</f>
        <v>6.3121797883580327E-2</v>
      </c>
      <c r="AC27" s="135">
        <f>1-AB33</f>
        <v>0.72661330121182011</v>
      </c>
      <c r="AD27">
        <f t="shared" ref="AD27:AD30" si="38">Y27*AA27</f>
        <v>6.3121797883580327E-2</v>
      </c>
      <c r="AF27">
        <f>N27/B27</f>
        <v>164.83169986415993</v>
      </c>
      <c r="AG27">
        <f>B27*AF27</f>
        <v>541801.79745349369</v>
      </c>
      <c r="AH27">
        <f>AG27/$AG$33</f>
        <v>0.33026943990239915</v>
      </c>
      <c r="AI27">
        <f>AH27</f>
        <v>0.33026943990239915</v>
      </c>
      <c r="AJ27">
        <f>B27/$B$33</f>
        <v>0.21737980292308709</v>
      </c>
      <c r="AK27">
        <f>AJ27</f>
        <v>0.21737980292308709</v>
      </c>
      <c r="AL27">
        <f>AI27*AK27</f>
        <v>7.1793905757501886E-2</v>
      </c>
      <c r="AM27" s="135">
        <f>1-AL33</f>
        <v>0.72465213025903807</v>
      </c>
      <c r="AN27" s="33">
        <v>7.4485270000000006E-2</v>
      </c>
      <c r="AS27">
        <f t="shared" si="10"/>
        <v>0.29037563303852088</v>
      </c>
      <c r="AT27">
        <f t="shared" si="11"/>
        <v>0.21737980292308709</v>
      </c>
      <c r="AV27">
        <f t="shared" si="12"/>
        <v>0.33026943990239915</v>
      </c>
      <c r="AW27">
        <f t="shared" si="13"/>
        <v>0.21737980292308709</v>
      </c>
    </row>
    <row r="28" spans="1:49" x14ac:dyDescent="0.2">
      <c r="A28" s="40" t="s">
        <v>119</v>
      </c>
      <c r="B28" s="41">
        <f t="shared" ref="B28:B30" si="39">(B8+B18)</f>
        <v>5604</v>
      </c>
      <c r="C28" s="58">
        <f t="shared" ref="C28:C30" si="40">(C8*B8+C18*B18)/B28</f>
        <v>108.04522425392578</v>
      </c>
      <c r="D28" s="50">
        <f t="shared" ref="D28:D30" si="41">C28*52</f>
        <v>5618.3516612041403</v>
      </c>
      <c r="E28" s="58">
        <f>(E8*B8+E18*B18)/B28</f>
        <v>107.08318638502854</v>
      </c>
      <c r="F28" s="50">
        <f>52*E28</f>
        <v>5568.3256920214844</v>
      </c>
      <c r="G28" s="33"/>
      <c r="H28" s="42">
        <f>C28*52*B28</f>
        <v>31485242.709388003</v>
      </c>
      <c r="I28" s="42">
        <f>F28*B28</f>
        <v>31204897.178088401</v>
      </c>
      <c r="J28" s="59">
        <f t="shared" ref="J28:J30" si="42">K28*F28</f>
        <v>556.83256920214842</v>
      </c>
      <c r="K28" s="43">
        <v>0.1</v>
      </c>
      <c r="L28" s="45">
        <f>B28*(F28-J28-Q28)</f>
        <v>28084407.460279562</v>
      </c>
      <c r="M28" s="45">
        <f t="shared" si="36"/>
        <v>631899.16785629012</v>
      </c>
      <c r="N28" s="45">
        <f t="shared" ref="N28:N30" si="43">H28*$D$1</f>
        <v>615375.60537829041</v>
      </c>
      <c r="O28" s="45">
        <f t="shared" si="37"/>
        <v>16523.562477999716</v>
      </c>
      <c r="P28" s="33"/>
      <c r="Q28" s="33"/>
      <c r="R28" s="33"/>
      <c r="S28" s="32">
        <v>500</v>
      </c>
      <c r="T28" s="43">
        <v>0.09</v>
      </c>
      <c r="U28" s="33"/>
      <c r="V28">
        <f>(V8*B8+V18*B18)/B28</f>
        <v>86.367924598001437</v>
      </c>
      <c r="W28">
        <f>B28*V28</f>
        <v>484005.84944720007</v>
      </c>
      <c r="X28">
        <f t="shared" ref="X28:X30" si="44">W28/$W$33</f>
        <v>0.36838404804564923</v>
      </c>
      <c r="Y28">
        <f>X28+Y27</f>
        <v>0.65875968108417005</v>
      </c>
      <c r="Z28">
        <f>B28/$B$33</f>
        <v>0.37061040936446005</v>
      </c>
      <c r="AA28">
        <f>Z28+AA27</f>
        <v>0.58799021228754711</v>
      </c>
      <c r="AB28">
        <f>(Y28-Y27)*(AA28-AA27)</f>
        <v>0.13652696284953494</v>
      </c>
      <c r="AC28" s="136"/>
      <c r="AD28">
        <f t="shared" si="38"/>
        <v>0.387344244727158</v>
      </c>
      <c r="AF28">
        <f>N28/B28</f>
        <v>109.81006519955218</v>
      </c>
      <c r="AG28">
        <f>B28*AF28</f>
        <v>615375.60537829041</v>
      </c>
      <c r="AH28">
        <f t="shared" ref="AH28:AH30" si="45">AG28/$AG$33</f>
        <v>0.37511827659695635</v>
      </c>
      <c r="AI28">
        <f>AH28+AI27</f>
        <v>0.7053877164993555</v>
      </c>
      <c r="AJ28">
        <f>B28/$B$33</f>
        <v>0.37061040936446005</v>
      </c>
      <c r="AK28">
        <f>AJ28+AK27</f>
        <v>0.58799021228754711</v>
      </c>
      <c r="AL28">
        <f>(AI28-AI27)*(AK28-AK27)</f>
        <v>0.13902273804968873</v>
      </c>
      <c r="AM28" s="136"/>
      <c r="AN28" s="33">
        <v>0.42112131000000003</v>
      </c>
      <c r="AS28">
        <f t="shared" si="10"/>
        <v>0.65875968108417005</v>
      </c>
      <c r="AT28">
        <f t="shared" si="11"/>
        <v>0.58799021228754711</v>
      </c>
      <c r="AV28">
        <f t="shared" si="12"/>
        <v>0.7053877164993555</v>
      </c>
      <c r="AW28">
        <f t="shared" si="13"/>
        <v>0.58799021228754711</v>
      </c>
    </row>
    <row r="29" spans="1:49" x14ac:dyDescent="0.2">
      <c r="A29" s="40" t="s">
        <v>120</v>
      </c>
      <c r="B29" s="41">
        <f t="shared" si="39"/>
        <v>3867</v>
      </c>
      <c r="C29" s="58">
        <f t="shared" si="40"/>
        <v>77.600195579260415</v>
      </c>
      <c r="D29" s="50">
        <f t="shared" si="41"/>
        <v>4035.2101701215415</v>
      </c>
      <c r="E29" s="58">
        <f>(E9*B9+E19*B19)/B29</f>
        <v>77.193814131305913</v>
      </c>
      <c r="F29" s="50">
        <f>52*E29</f>
        <v>4014.0783348279074</v>
      </c>
      <c r="G29" s="33"/>
      <c r="H29" s="42">
        <f>C29*52*B29</f>
        <v>15604157.727860002</v>
      </c>
      <c r="I29" s="42">
        <f>F29*B29</f>
        <v>15522440.920779519</v>
      </c>
      <c r="J29" s="59">
        <f t="shared" si="42"/>
        <v>602.11175022418604</v>
      </c>
      <c r="K29" s="43">
        <v>0.15</v>
      </c>
      <c r="L29" s="45">
        <f>B29*(F29-J29-Q29)</f>
        <v>13194074.782662591</v>
      </c>
      <c r="M29" s="45">
        <f t="shared" si="36"/>
        <v>296866.68260990828</v>
      </c>
      <c r="N29" s="45">
        <f t="shared" si="43"/>
        <v>304981.54633367364</v>
      </c>
      <c r="O29" s="45">
        <f t="shared" si="37"/>
        <v>-8114.8637237653602</v>
      </c>
      <c r="P29" s="33"/>
      <c r="Q29" s="33"/>
      <c r="R29" s="33"/>
      <c r="S29" s="32">
        <v>1000</v>
      </c>
      <c r="T29" s="43">
        <v>0.26</v>
      </c>
      <c r="U29" s="33"/>
      <c r="V29">
        <f>(V9*B9+V19*B19)/B29</f>
        <v>69.723741281561928</v>
      </c>
      <c r="W29">
        <f>B29*V29</f>
        <v>269621.7075358</v>
      </c>
      <c r="X29">
        <f t="shared" si="44"/>
        <v>0.20521309024768999</v>
      </c>
      <c r="Y29">
        <f t="shared" ref="Y29:Y30" si="46">X29+Y28</f>
        <v>0.86397277133186001</v>
      </c>
      <c r="Z29">
        <f>B29/$B$33</f>
        <v>0.25573705442761724</v>
      </c>
      <c r="AA29">
        <f t="shared" ref="AA29:AA30" si="47">Z29+AA28</f>
        <v>0.84372726671516429</v>
      </c>
      <c r="AB29">
        <f t="shared" ref="AB29:AB30" si="48">(Y29-Y28)*(AA29-AA28)</f>
        <v>5.2480591229933003E-2</v>
      </c>
      <c r="AC29" s="136"/>
      <c r="AD29">
        <f t="shared" si="38"/>
        <v>0.72895738487215589</v>
      </c>
      <c r="AF29">
        <f>N29/B29</f>
        <v>78.867738901906819</v>
      </c>
      <c r="AG29">
        <f>B29*AF29</f>
        <v>304981.54633367364</v>
      </c>
      <c r="AH29">
        <f t="shared" si="45"/>
        <v>0.18590946903758832</v>
      </c>
      <c r="AI29">
        <f t="shared" ref="AI29:AI30" si="49">AH29+AI28</f>
        <v>0.89129718553694381</v>
      </c>
      <c r="AJ29">
        <f>B29/$B$33</f>
        <v>0.25573705442761724</v>
      </c>
      <c r="AK29">
        <f t="shared" ref="AK29:AK30" si="50">AJ29+AK28</f>
        <v>0.84372726671516429</v>
      </c>
      <c r="AL29">
        <f t="shared" ref="AL29:AL30" si="51">(AI29-AI28)*(AK29-AK28)</f>
        <v>4.7543940001875132E-2</v>
      </c>
      <c r="AM29" s="136"/>
      <c r="AN29" s="33">
        <v>0.75354200999999998</v>
      </c>
      <c r="AS29">
        <f t="shared" si="10"/>
        <v>0.86397277133186001</v>
      </c>
      <c r="AT29">
        <f t="shared" si="11"/>
        <v>0.84372726671516429</v>
      </c>
      <c r="AV29">
        <f t="shared" si="12"/>
        <v>0.89129718553694381</v>
      </c>
      <c r="AW29">
        <f t="shared" si="13"/>
        <v>0.84372726671516429</v>
      </c>
    </row>
    <row r="30" spans="1:49" x14ac:dyDescent="0.2">
      <c r="A30" s="40" t="s">
        <v>118</v>
      </c>
      <c r="B30" s="41">
        <f t="shared" si="39"/>
        <v>2363</v>
      </c>
      <c r="C30" s="58">
        <f t="shared" si="40"/>
        <v>74.252750305966998</v>
      </c>
      <c r="D30" s="50">
        <f t="shared" si="41"/>
        <v>3861.1430159102838</v>
      </c>
      <c r="E30" s="58">
        <f>(E10*B10+E20*B20)/B30</f>
        <v>74.193892112336002</v>
      </c>
      <c r="F30" s="50">
        <f>52*E30</f>
        <v>3858.0823898414719</v>
      </c>
      <c r="G30" s="33"/>
      <c r="H30" s="42">
        <f>C30*52*B30</f>
        <v>9123880.9465960003</v>
      </c>
      <c r="I30" s="42">
        <f>F30*B30</f>
        <v>9116648.6871953979</v>
      </c>
      <c r="J30" s="59">
        <f t="shared" si="42"/>
        <v>771.61647796829448</v>
      </c>
      <c r="K30" s="43">
        <v>0.2</v>
      </c>
      <c r="L30" s="45">
        <f>B30*(F30-J30-Q30)</f>
        <v>7293318.9497563187</v>
      </c>
      <c r="M30" s="45">
        <f t="shared" si="36"/>
        <v>164099.67636951717</v>
      </c>
      <c r="N30" s="45">
        <f t="shared" si="43"/>
        <v>178325.24947431468</v>
      </c>
      <c r="O30" s="45">
        <f t="shared" si="37"/>
        <v>-14225.573104797513</v>
      </c>
      <c r="P30" s="33"/>
      <c r="Q30" s="33"/>
      <c r="R30" s="33"/>
      <c r="S30" s="32">
        <v>2000</v>
      </c>
      <c r="T30" s="43">
        <v>0.51</v>
      </c>
      <c r="U30" s="33"/>
      <c r="V30">
        <f>(V10*B10+V20*B20)/B30</f>
        <v>75.633103759289057</v>
      </c>
      <c r="W30">
        <f>B30*V30</f>
        <v>178721.02418320003</v>
      </c>
      <c r="X30">
        <f t="shared" si="44"/>
        <v>0.13602722866813993</v>
      </c>
      <c r="Y30">
        <f t="shared" si="46"/>
        <v>1</v>
      </c>
      <c r="Z30">
        <f>B30/$B$33</f>
        <v>0.15627273328483565</v>
      </c>
      <c r="AA30">
        <f t="shared" si="47"/>
        <v>1</v>
      </c>
      <c r="AB30">
        <f t="shared" si="48"/>
        <v>2.1257346825131598E-2</v>
      </c>
      <c r="AC30" s="136"/>
      <c r="AD30">
        <f t="shared" si="38"/>
        <v>1</v>
      </c>
      <c r="AF30">
        <f>N30/B30</f>
        <v>75.465615520234735</v>
      </c>
      <c r="AG30">
        <f>B30*AF30</f>
        <v>178325.24947431468</v>
      </c>
      <c r="AH30">
        <f t="shared" si="45"/>
        <v>0.10870281446305624</v>
      </c>
      <c r="AI30">
        <f t="shared" si="49"/>
        <v>1</v>
      </c>
      <c r="AJ30">
        <f>B30/$B$33</f>
        <v>0.15627273328483565</v>
      </c>
      <c r="AK30">
        <f t="shared" si="50"/>
        <v>1</v>
      </c>
      <c r="AL30">
        <f t="shared" si="51"/>
        <v>1.6987285931896162E-2</v>
      </c>
      <c r="AM30" s="136"/>
      <c r="AN30" s="33">
        <v>1</v>
      </c>
      <c r="AS30">
        <f t="shared" si="10"/>
        <v>1</v>
      </c>
      <c r="AT30">
        <f t="shared" si="11"/>
        <v>1</v>
      </c>
      <c r="AV30">
        <f t="shared" si="12"/>
        <v>1</v>
      </c>
      <c r="AW30">
        <f t="shared" si="13"/>
        <v>1</v>
      </c>
    </row>
    <row r="31" spans="1:49" x14ac:dyDescent="0.2">
      <c r="A31" s="8"/>
      <c r="B31" s="8"/>
      <c r="C31" s="8"/>
      <c r="D31" s="8"/>
      <c r="E31" s="8"/>
      <c r="F31" s="8"/>
      <c r="AC31" s="60"/>
      <c r="AM31" s="60"/>
    </row>
    <row r="32" spans="1:49" x14ac:dyDescent="0.2">
      <c r="A32" s="8"/>
      <c r="B32" s="8"/>
      <c r="C32" s="8"/>
      <c r="D32" s="8"/>
      <c r="E32" s="8"/>
      <c r="F32" s="8"/>
      <c r="AC32" s="60"/>
      <c r="AM32" s="60"/>
    </row>
    <row r="33" spans="2:39" s="16" customFormat="1" x14ac:dyDescent="0.2">
      <c r="B33" s="16">
        <f>SUM(B27:B32)</f>
        <v>15121</v>
      </c>
      <c r="E33" s="16">
        <f>SUM(E27:E30)/4</f>
        <v>104.6763173769501</v>
      </c>
      <c r="F33" s="19">
        <f>SUM(F27:F32)</f>
        <v>21772.67401440562</v>
      </c>
      <c r="G33" s="19"/>
      <c r="H33" s="19">
        <f>SUM(H27:H32)</f>
        <v>83934174.029107988</v>
      </c>
      <c r="I33" s="19">
        <f>SUM(I27:I32)</f>
        <v>83231887.419751704</v>
      </c>
      <c r="J33" s="51">
        <f>SUM(J27:J32)</f>
        <v>2347.1701772803667</v>
      </c>
      <c r="K33" s="22"/>
      <c r="L33" s="16">
        <f>SUM(L27:L32)</f>
        <v>74590306.794702455</v>
      </c>
      <c r="M33" s="16">
        <f>L33*$D$2</f>
        <v>1678281.9028808051</v>
      </c>
      <c r="N33" s="19">
        <f>I33*$D$1</f>
        <v>1626758.0841114307</v>
      </c>
      <c r="O33" s="19">
        <f>M33-N33</f>
        <v>51523.818769374397</v>
      </c>
      <c r="Q33" s="16">
        <f>SUM(Q27:Q32)</f>
        <v>0</v>
      </c>
      <c r="S33" s="25"/>
      <c r="T33" s="22"/>
      <c r="W33" s="16">
        <f>SUM(W27:W32)</f>
        <v>1313862.1284362001</v>
      </c>
      <c r="AB33" s="16">
        <f>SUM(AB27:AB32)</f>
        <v>0.27338669878817984</v>
      </c>
      <c r="AC33" s="60"/>
      <c r="AG33" s="16">
        <f>SUM(AG27:AG32)</f>
        <v>1640484.1986397724</v>
      </c>
      <c r="AL33" s="16">
        <f>SUM(AL27:AL32)</f>
        <v>0.27534786974096193</v>
      </c>
      <c r="AM33" s="60"/>
    </row>
  </sheetData>
  <mergeCells count="7">
    <mergeCell ref="O1:O3"/>
    <mergeCell ref="AC7:AC10"/>
    <mergeCell ref="AM7:AM10"/>
    <mergeCell ref="AC17:AC20"/>
    <mergeCell ref="AC27:AC30"/>
    <mergeCell ref="AM17:AM20"/>
    <mergeCell ref="AM27:AM30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9E64-BE92-4640-BE15-9EE7EA11C511}">
  <dimension ref="A1:AP25"/>
  <sheetViews>
    <sheetView topLeftCell="I1" zoomScaleNormal="135" workbookViewId="0">
      <selection activeCell="V6" sqref="V6"/>
    </sheetView>
  </sheetViews>
  <sheetFormatPr baseColWidth="10" defaultRowHeight="15" x14ac:dyDescent="0.2"/>
  <cols>
    <col min="1" max="1" width="7.1640625" customWidth="1"/>
    <col min="2" max="2" width="9.83203125" bestFit="1" customWidth="1"/>
    <col min="3" max="4" width="11.83203125" customWidth="1"/>
    <col min="5" max="6" width="6.1640625" bestFit="1" customWidth="1"/>
    <col min="7" max="8" width="11.83203125" customWidth="1"/>
    <col min="9" max="9" width="9.6640625" customWidth="1"/>
    <col min="10" max="11" width="12.33203125" bestFit="1" customWidth="1"/>
    <col min="12" max="12" width="11.33203125" style="23" customWidth="1"/>
    <col min="13" max="13" width="11" style="20" bestFit="1" customWidth="1"/>
    <col min="14" max="17" width="11" bestFit="1" customWidth="1"/>
    <col min="19" max="19" width="11" bestFit="1" customWidth="1"/>
    <col min="21" max="21" width="11" style="23" bestFit="1" customWidth="1"/>
    <col min="22" max="22" width="11" style="20" bestFit="1" customWidth="1"/>
  </cols>
  <sheetData>
    <row r="1" spans="1:42" x14ac:dyDescent="0.2">
      <c r="A1" s="11" t="s">
        <v>93</v>
      </c>
      <c r="D1">
        <v>0.02</v>
      </c>
      <c r="E1" t="s">
        <v>97</v>
      </c>
      <c r="G1" s="11" t="s">
        <v>91</v>
      </c>
      <c r="J1" s="18">
        <f>P13+P23</f>
        <v>1856237.4165769904</v>
      </c>
      <c r="N1" s="11" t="s">
        <v>127</v>
      </c>
      <c r="P1" t="s">
        <v>130</v>
      </c>
      <c r="Q1">
        <f>AE7</f>
        <v>0.7268664384171224</v>
      </c>
      <c r="R1" s="11" t="s">
        <v>113</v>
      </c>
      <c r="S1">
        <f>AO7</f>
        <v>0.72433365137756445</v>
      </c>
    </row>
    <row r="2" spans="1:42" x14ac:dyDescent="0.2">
      <c r="A2" s="11" t="s">
        <v>98</v>
      </c>
      <c r="D2">
        <v>0.02</v>
      </c>
      <c r="E2" t="s">
        <v>97</v>
      </c>
      <c r="G2" s="11" t="s">
        <v>92</v>
      </c>
      <c r="J2" s="18">
        <f>O13+O23</f>
        <v>1856237.4165769904</v>
      </c>
      <c r="N2" s="11" t="s">
        <v>128</v>
      </c>
      <c r="P2" s="33" t="s">
        <v>130</v>
      </c>
      <c r="Q2">
        <f>AE17</f>
        <v>0.72617025206770769</v>
      </c>
      <c r="R2" t="s">
        <v>129</v>
      </c>
      <c r="S2">
        <f>AO17</f>
        <v>0.72589611768027518</v>
      </c>
      <c r="AH2" t="s">
        <v>126</v>
      </c>
    </row>
    <row r="3" spans="1:42" x14ac:dyDescent="0.2">
      <c r="G3" s="11" t="s">
        <v>86</v>
      </c>
      <c r="I3" t="s">
        <v>89</v>
      </c>
      <c r="J3" s="18">
        <f>Q13+Q23</f>
        <v>0</v>
      </c>
      <c r="N3" s="11"/>
      <c r="U3" s="30" t="s">
        <v>81</v>
      </c>
      <c r="X3" s="11" t="s">
        <v>106</v>
      </c>
      <c r="AH3" s="11" t="s">
        <v>112</v>
      </c>
    </row>
    <row r="4" spans="1:42" x14ac:dyDescent="0.2">
      <c r="G4" s="11"/>
      <c r="K4" s="18"/>
      <c r="L4" s="23" t="s">
        <v>95</v>
      </c>
      <c r="M4" s="20" t="s">
        <v>94</v>
      </c>
      <c r="U4" s="23" t="s">
        <v>96</v>
      </c>
      <c r="V4" s="20" t="s">
        <v>95</v>
      </c>
    </row>
    <row r="5" spans="1:42" x14ac:dyDescent="0.2">
      <c r="A5" s="11" t="s">
        <v>121</v>
      </c>
      <c r="B5" s="11"/>
      <c r="C5" s="11"/>
      <c r="D5" s="11"/>
      <c r="E5" s="11"/>
      <c r="F5" s="11"/>
      <c r="G5" s="11"/>
      <c r="H5" s="28" t="s">
        <v>110</v>
      </c>
      <c r="I5" s="31"/>
      <c r="L5" s="28" t="s">
        <v>110</v>
      </c>
      <c r="M5" s="28" t="s">
        <v>110</v>
      </c>
      <c r="S5" s="29" t="s">
        <v>110</v>
      </c>
      <c r="X5" s="28" t="s">
        <v>110</v>
      </c>
      <c r="AH5" s="28" t="s">
        <v>110</v>
      </c>
    </row>
    <row r="6" spans="1:42" ht="48" x14ac:dyDescent="0.2">
      <c r="A6" s="17" t="s">
        <v>25</v>
      </c>
      <c r="B6" s="17" t="s">
        <v>24</v>
      </c>
      <c r="C6" s="17" t="s">
        <v>19</v>
      </c>
      <c r="D6" s="17" t="s">
        <v>116</v>
      </c>
      <c r="E6" s="17"/>
      <c r="F6" s="17"/>
      <c r="G6" s="17" t="s">
        <v>125</v>
      </c>
      <c r="H6" s="17" t="s">
        <v>124</v>
      </c>
      <c r="J6" s="17" t="s">
        <v>114</v>
      </c>
      <c r="K6" s="17" t="s">
        <v>115</v>
      </c>
      <c r="L6" s="24" t="s">
        <v>81</v>
      </c>
      <c r="M6" s="21" t="s">
        <v>87</v>
      </c>
      <c r="N6" s="17" t="s">
        <v>83</v>
      </c>
      <c r="O6" s="17" t="s">
        <v>84</v>
      </c>
      <c r="P6" s="17" t="s">
        <v>85</v>
      </c>
      <c r="Q6" s="17" t="s">
        <v>86</v>
      </c>
      <c r="R6" s="8"/>
      <c r="S6" s="17" t="s">
        <v>111</v>
      </c>
      <c r="U6" s="24" t="s">
        <v>90</v>
      </c>
      <c r="V6" s="21" t="s">
        <v>87</v>
      </c>
      <c r="X6" s="17" t="s">
        <v>100</v>
      </c>
      <c r="Y6" s="17" t="s">
        <v>105</v>
      </c>
      <c r="Z6" s="17" t="s">
        <v>102</v>
      </c>
      <c r="AA6" s="17" t="s">
        <v>101</v>
      </c>
      <c r="AB6" s="17" t="s">
        <v>103</v>
      </c>
      <c r="AC6" s="17" t="s">
        <v>104</v>
      </c>
      <c r="AE6" s="17" t="s">
        <v>106</v>
      </c>
      <c r="AH6" s="17" t="s">
        <v>100</v>
      </c>
      <c r="AI6" s="17" t="s">
        <v>105</v>
      </c>
      <c r="AJ6" s="17" t="s">
        <v>102</v>
      </c>
      <c r="AK6" s="17" t="s">
        <v>101</v>
      </c>
      <c r="AL6" s="17" t="s">
        <v>103</v>
      </c>
      <c r="AM6" s="17" t="s">
        <v>104</v>
      </c>
      <c r="AO6" s="17" t="s">
        <v>106</v>
      </c>
    </row>
    <row r="7" spans="1:42" x14ac:dyDescent="0.2">
      <c r="A7" s="8" t="s">
        <v>117</v>
      </c>
      <c r="B7" s="8">
        <v>3001</v>
      </c>
      <c r="C7" s="8">
        <v>160.53818999999999</v>
      </c>
      <c r="D7" s="8">
        <f>C7*52</f>
        <v>8347.9858800000002</v>
      </c>
      <c r="E7" s="8"/>
      <c r="F7" s="8"/>
      <c r="G7" s="8">
        <v>158.43734449999999</v>
      </c>
      <c r="H7" s="8">
        <f>52*G7</f>
        <v>8238.7419140000002</v>
      </c>
      <c r="J7">
        <f>C7*52*B7</f>
        <v>25052305.625879999</v>
      </c>
      <c r="K7" s="18">
        <f>H7*B7</f>
        <v>24724464.483913999</v>
      </c>
      <c r="L7" s="23">
        <v>0</v>
      </c>
      <c r="M7" s="26">
        <v>0.5</v>
      </c>
      <c r="N7">
        <f>B7*(H7-L7-S7)</f>
        <v>24724464.483913999</v>
      </c>
      <c r="O7" s="18">
        <f t="shared" ref="O7:O10" si="0">N7*$D$2</f>
        <v>494489.28967828001</v>
      </c>
      <c r="P7" s="18">
        <f>J7*$D$1</f>
        <v>501046.11251760001</v>
      </c>
      <c r="Q7" s="18">
        <f t="shared" ref="Q7:Q10" si="1">O7-P7</f>
        <v>-6556.822839319997</v>
      </c>
      <c r="S7" s="32">
        <v>0</v>
      </c>
      <c r="U7" s="23">
        <v>5000</v>
      </c>
      <c r="V7" s="26">
        <f>U7/H7</f>
        <v>0.60688877648947315</v>
      </c>
      <c r="W7">
        <v>110.2376996</v>
      </c>
      <c r="X7">
        <v>110.2376996</v>
      </c>
      <c r="Y7">
        <f t="shared" ref="Y7:Y10" si="2">B7*X7</f>
        <v>330823.33649959997</v>
      </c>
      <c r="Z7">
        <f>Y7/$Y$13</f>
        <v>0.29600410229072932</v>
      </c>
      <c r="AA7">
        <f>Z7</f>
        <v>0.29600410229072932</v>
      </c>
      <c r="AB7">
        <f t="shared" ref="AB7:AB10" si="3">B7/$B$13</f>
        <v>0.2206293192177621</v>
      </c>
      <c r="AC7">
        <f>AB7</f>
        <v>0.2206293192177621</v>
      </c>
      <c r="AD7">
        <f>AA7*AC7</f>
        <v>6.5307183574068423E-2</v>
      </c>
      <c r="AE7" s="135">
        <f>1-AD13</f>
        <v>0.7268664384171224</v>
      </c>
      <c r="AF7">
        <f t="shared" ref="AF7:AF10" si="4">AA7*AC7</f>
        <v>6.5307183574068423E-2</v>
      </c>
      <c r="AH7">
        <f>P7/B7</f>
        <v>166.9597176</v>
      </c>
      <c r="AI7">
        <f>B7*AH7</f>
        <v>501046.11251760001</v>
      </c>
      <c r="AJ7">
        <f>AI7/$AI$13</f>
        <v>0.33760367506776967</v>
      </c>
      <c r="AK7">
        <f>AJ7</f>
        <v>0.33760367506776967</v>
      </c>
      <c r="AL7">
        <f>B7/$B$13</f>
        <v>0.2206293192177621</v>
      </c>
      <c r="AM7">
        <f>AL7</f>
        <v>0.2206293192177621</v>
      </c>
      <c r="AN7">
        <f>AK7*AM7</f>
        <v>7.4485268995616583E-2</v>
      </c>
      <c r="AO7" s="135">
        <f>1-AN13</f>
        <v>0.72433365137756445</v>
      </c>
      <c r="AP7">
        <f t="shared" ref="AP7:AP10" si="5">AK7*AM7</f>
        <v>7.4485268995616583E-2</v>
      </c>
    </row>
    <row r="8" spans="1:42" x14ac:dyDescent="0.2">
      <c r="A8" s="8" t="s">
        <v>119</v>
      </c>
      <c r="B8" s="8">
        <v>5053</v>
      </c>
      <c r="C8" s="8">
        <v>105.512298</v>
      </c>
      <c r="D8" s="8">
        <f t="shared" ref="D8:D10" si="6">C8*52</f>
        <v>5486.6394959999998</v>
      </c>
      <c r="E8" s="8"/>
      <c r="F8" s="8"/>
      <c r="G8" s="8">
        <v>104.4482021</v>
      </c>
      <c r="H8" s="8">
        <f>52*G8</f>
        <v>5431.3065091999997</v>
      </c>
      <c r="J8">
        <f t="shared" ref="J8:J10" si="7">C8*52*B8</f>
        <v>27723989.373287998</v>
      </c>
      <c r="K8" s="18">
        <f t="shared" ref="K8:K10" si="8">H8*B8</f>
        <v>27444391.7909876</v>
      </c>
      <c r="L8" s="23">
        <v>0</v>
      </c>
      <c r="M8" s="26">
        <v>0.4</v>
      </c>
      <c r="N8">
        <f t="shared" ref="N8:N10" si="9">B8*(H8-L8-S8)</f>
        <v>27444391.7909876</v>
      </c>
      <c r="O8" s="18">
        <f t="shared" si="0"/>
        <v>548887.83581975196</v>
      </c>
      <c r="P8" s="18">
        <f t="shared" ref="P8:P10" si="10">J8*$D$1</f>
        <v>554479.78746576002</v>
      </c>
      <c r="Q8" s="18">
        <f t="shared" si="1"/>
        <v>-5591.9516460080631</v>
      </c>
      <c r="S8" s="32">
        <v>0</v>
      </c>
      <c r="U8" s="23">
        <v>4000</v>
      </c>
      <c r="V8" s="26">
        <f t="shared" ref="V8:V10" si="11">U8/H8</f>
        <v>0.73647104858185897</v>
      </c>
      <c r="W8">
        <v>80.976028409999998</v>
      </c>
      <c r="X8">
        <v>80.976028409999998</v>
      </c>
      <c r="Y8">
        <f t="shared" si="2"/>
        <v>409171.87155573</v>
      </c>
      <c r="Z8">
        <f t="shared" ref="Z8:Z10" si="12">Y8/$Y$13</f>
        <v>0.3661064355495306</v>
      </c>
      <c r="AA8">
        <f>Z8+AA7</f>
        <v>0.66211053784025986</v>
      </c>
      <c r="AB8">
        <f t="shared" si="3"/>
        <v>0.37148948684017058</v>
      </c>
      <c r="AC8">
        <f>AB8+AC7</f>
        <v>0.59211880605793266</v>
      </c>
      <c r="AD8">
        <f>(AA8-AA7)*(AC8-AC7)</f>
        <v>0.13600469187117908</v>
      </c>
      <c r="AE8" s="136"/>
      <c r="AF8">
        <f t="shared" si="4"/>
        <v>0.39204810114435029</v>
      </c>
      <c r="AH8">
        <f t="shared" ref="AH8:AH10" si="13">P8/B8</f>
        <v>109.73278992</v>
      </c>
      <c r="AI8">
        <f t="shared" ref="AI8:AI10" si="14">B8*AH8</f>
        <v>554479.78746576002</v>
      </c>
      <c r="AJ8">
        <f t="shared" ref="AJ8:AJ10" si="15">AI8/$AI$13</f>
        <v>0.37360715774969899</v>
      </c>
      <c r="AK8">
        <f>AJ8+AK7</f>
        <v>0.71121083281746866</v>
      </c>
      <c r="AL8">
        <f t="shared" ref="AL8:AL10" si="16">B8/$B$13</f>
        <v>0.37148948684017058</v>
      </c>
      <c r="AM8">
        <f>AL8+AM7</f>
        <v>0.59211880605793266</v>
      </c>
      <c r="AN8">
        <f>(AK8-AK7)*(AM8-AM7)</f>
        <v>0.13879113131225035</v>
      </c>
      <c r="AO8" s="136"/>
      <c r="AP8">
        <f t="shared" si="5"/>
        <v>0.4211213091833475</v>
      </c>
    </row>
    <row r="9" spans="1:42" x14ac:dyDescent="0.2">
      <c r="A9" s="8" t="s">
        <v>120</v>
      </c>
      <c r="B9" s="8">
        <v>3458</v>
      </c>
      <c r="C9" s="8">
        <v>73.925838999999996</v>
      </c>
      <c r="D9" s="8">
        <f t="shared" si="6"/>
        <v>3844.1436279999998</v>
      </c>
      <c r="E9" s="8"/>
      <c r="F9" s="8"/>
      <c r="G9" s="8">
        <v>73.447842769999994</v>
      </c>
      <c r="H9" s="8">
        <f>52*G9</f>
        <v>3819.2878240399996</v>
      </c>
      <c r="J9">
        <f t="shared" si="7"/>
        <v>13293048.665624</v>
      </c>
      <c r="K9" s="18">
        <f t="shared" si="8"/>
        <v>13207097.295530319</v>
      </c>
      <c r="L9" s="23">
        <v>0</v>
      </c>
      <c r="M9" s="26">
        <v>0.3</v>
      </c>
      <c r="N9">
        <f t="shared" si="9"/>
        <v>13207097.295530319</v>
      </c>
      <c r="O9" s="18">
        <f t="shared" si="0"/>
        <v>264141.94591060642</v>
      </c>
      <c r="P9" s="18">
        <f t="shared" si="10"/>
        <v>265860.97331248003</v>
      </c>
      <c r="Q9" s="18">
        <f t="shared" si="1"/>
        <v>-1719.0274018736091</v>
      </c>
      <c r="S9" s="32">
        <v>0</v>
      </c>
      <c r="U9" s="23">
        <v>3000</v>
      </c>
      <c r="V9" s="26">
        <f t="shared" si="11"/>
        <v>0.78548675517904121</v>
      </c>
      <c r="W9">
        <v>63.9621511</v>
      </c>
      <c r="X9">
        <v>63.9621511</v>
      </c>
      <c r="Y9">
        <f t="shared" si="2"/>
        <v>221181.11850380001</v>
      </c>
      <c r="Z9">
        <f t="shared" si="12"/>
        <v>0.19790175360393875</v>
      </c>
      <c r="AA9">
        <f t="shared" ref="AA9:AA10" si="17">Z9+AA8</f>
        <v>0.86001229144419855</v>
      </c>
      <c r="AB9">
        <f t="shared" si="3"/>
        <v>0.25422731951183647</v>
      </c>
      <c r="AC9">
        <f t="shared" ref="AC9:AC10" si="18">AB9+AC8</f>
        <v>0.84634612556976907</v>
      </c>
      <c r="AD9">
        <f t="shared" ref="AD9:AD10" si="19">(AA9-AA8)*(AC9-AC8)</f>
        <v>5.0312032345421247E-2</v>
      </c>
      <c r="AE9" s="136"/>
      <c r="AF9">
        <f t="shared" si="4"/>
        <v>0.72786807080617655</v>
      </c>
      <c r="AH9">
        <f t="shared" si="13"/>
        <v>76.88287256000001</v>
      </c>
      <c r="AI9">
        <f t="shared" si="14"/>
        <v>265860.97331248003</v>
      </c>
      <c r="AJ9">
        <f t="shared" si="15"/>
        <v>0.17913648944683647</v>
      </c>
      <c r="AK9">
        <f t="shared" ref="AK9:AK10" si="20">AJ9+AK8</f>
        <v>0.89034732226430513</v>
      </c>
      <c r="AL9">
        <f t="shared" si="16"/>
        <v>0.25422731951183647</v>
      </c>
      <c r="AM9">
        <f t="shared" ref="AM9:AM10" si="21">AL9+AM8</f>
        <v>0.84634612556976907</v>
      </c>
      <c r="AN9">
        <f t="shared" ref="AN9:AN10" si="22">(AK9-AK8)*(AM9-AM8)</f>
        <v>4.5541389538829607E-2</v>
      </c>
      <c r="AO9" s="136"/>
      <c r="AP9">
        <f t="shared" si="5"/>
        <v>0.75354200660981319</v>
      </c>
    </row>
    <row r="10" spans="1:42" x14ac:dyDescent="0.2">
      <c r="A10" s="8" t="s">
        <v>118</v>
      </c>
      <c r="B10" s="8">
        <v>2090</v>
      </c>
      <c r="C10" s="8">
        <v>74.870399000000006</v>
      </c>
      <c r="D10" s="8">
        <f t="shared" si="6"/>
        <v>3893.2607480000001</v>
      </c>
      <c r="E10" s="8"/>
      <c r="F10" s="8"/>
      <c r="G10" s="8">
        <v>74.759323319999993</v>
      </c>
      <c r="H10" s="8">
        <f>52*G10</f>
        <v>3887.4848126399997</v>
      </c>
      <c r="J10">
        <f t="shared" si="7"/>
        <v>8136914.9633200001</v>
      </c>
      <c r="K10" s="18">
        <f t="shared" si="8"/>
        <v>8124843.2584175998</v>
      </c>
      <c r="L10" s="23">
        <v>0</v>
      </c>
      <c r="M10" s="26">
        <v>0.2</v>
      </c>
      <c r="N10">
        <f t="shared" si="9"/>
        <v>8124843.2584175998</v>
      </c>
      <c r="O10" s="18">
        <f t="shared" si="0"/>
        <v>162496.865168352</v>
      </c>
      <c r="P10" s="18">
        <f t="shared" si="10"/>
        <v>162738.29926640002</v>
      </c>
      <c r="Q10" s="18">
        <f t="shared" si="1"/>
        <v>-241.43409804801922</v>
      </c>
      <c r="S10" s="32">
        <v>0</v>
      </c>
      <c r="U10" s="23">
        <v>2000</v>
      </c>
      <c r="V10" s="26">
        <f t="shared" si="11"/>
        <v>0.51447146327030802</v>
      </c>
      <c r="W10">
        <v>74.858656069999995</v>
      </c>
      <c r="X10">
        <v>74.858656069999995</v>
      </c>
      <c r="Y10">
        <f t="shared" si="2"/>
        <v>156454.59118629998</v>
      </c>
      <c r="Z10">
        <f t="shared" si="12"/>
        <v>0.13998770855580128</v>
      </c>
      <c r="AA10">
        <f t="shared" si="17"/>
        <v>0.99999999999999978</v>
      </c>
      <c r="AB10">
        <f t="shared" si="3"/>
        <v>0.15365387443023085</v>
      </c>
      <c r="AC10">
        <f t="shared" si="18"/>
        <v>0.99999999999999989</v>
      </c>
      <c r="AD10">
        <f t="shared" si="19"/>
        <v>2.150965379220883E-2</v>
      </c>
      <c r="AE10" s="136"/>
      <c r="AF10">
        <f t="shared" si="4"/>
        <v>0.99999999999999967</v>
      </c>
      <c r="AH10">
        <f t="shared" si="13"/>
        <v>77.865214960000003</v>
      </c>
      <c r="AI10">
        <f t="shared" si="14"/>
        <v>162738.29926640002</v>
      </c>
      <c r="AJ10">
        <f t="shared" si="15"/>
        <v>0.10965267773569499</v>
      </c>
      <c r="AK10">
        <f t="shared" si="20"/>
        <v>1.0000000000000002</v>
      </c>
      <c r="AL10">
        <f t="shared" si="16"/>
        <v>0.15365387443023085</v>
      </c>
      <c r="AM10">
        <f t="shared" si="21"/>
        <v>0.99999999999999989</v>
      </c>
      <c r="AN10">
        <f t="shared" si="22"/>
        <v>1.6848558775739059E-2</v>
      </c>
      <c r="AO10" s="136"/>
      <c r="AP10">
        <f t="shared" si="5"/>
        <v>1</v>
      </c>
    </row>
    <row r="11" spans="1:42" x14ac:dyDescent="0.2">
      <c r="A11" s="8"/>
      <c r="B11" s="8"/>
      <c r="C11" s="8"/>
      <c r="D11" s="8"/>
      <c r="E11" s="8"/>
      <c r="F11" s="8"/>
      <c r="G11" s="8"/>
      <c r="H11" s="8"/>
      <c r="K11" s="18"/>
      <c r="M11" s="26"/>
      <c r="O11" s="18"/>
      <c r="P11" s="18"/>
      <c r="Q11" s="18"/>
      <c r="V11" s="26"/>
      <c r="AE11" s="136"/>
      <c r="AO11" s="136"/>
    </row>
    <row r="12" spans="1:42" x14ac:dyDescent="0.2">
      <c r="A12" s="8"/>
      <c r="B12" s="8"/>
      <c r="C12" s="8"/>
      <c r="D12" s="8"/>
      <c r="E12" s="8"/>
      <c r="F12" s="8"/>
      <c r="G12" s="8"/>
      <c r="H12" s="8"/>
      <c r="K12" s="18"/>
      <c r="M12" s="26"/>
      <c r="O12" s="18"/>
      <c r="P12" s="18"/>
      <c r="Q12" s="18"/>
      <c r="V12" s="26"/>
      <c r="AE12" s="136"/>
      <c r="AO12" s="136"/>
    </row>
    <row r="13" spans="1:42" s="16" customFormat="1" x14ac:dyDescent="0.2">
      <c r="A13" s="16" t="s">
        <v>99</v>
      </c>
      <c r="B13" s="16">
        <f>SUM(B7:B12)</f>
        <v>13602</v>
      </c>
      <c r="G13">
        <f>SUM(G7:G10)/4</f>
        <v>102.7731781725</v>
      </c>
      <c r="H13" s="16">
        <f>SUM(H7:H12)</f>
        <v>21376.82105988</v>
      </c>
      <c r="J13" s="19">
        <f>SUM(J7:J12)</f>
        <v>74206258.628111988</v>
      </c>
      <c r="K13" s="19">
        <f>SUM(K7:K12)</f>
        <v>73500796.828849524</v>
      </c>
      <c r="L13" s="25">
        <f>SUM(L7:L12)</f>
        <v>0</v>
      </c>
      <c r="M13" s="22"/>
      <c r="N13" s="16">
        <f>SUM(N7:N12)</f>
        <v>73500796.828849524</v>
      </c>
      <c r="O13" s="19">
        <f>N13*$D$2</f>
        <v>1470015.9365769904</v>
      </c>
      <c r="P13" s="19">
        <f>K13*$D$1</f>
        <v>1470015.9365769904</v>
      </c>
      <c r="Q13" s="19">
        <f>O13-P13</f>
        <v>0</v>
      </c>
      <c r="U13" s="25">
        <f>SUM(U7:U12)</f>
        <v>14000</v>
      </c>
      <c r="V13" s="22"/>
      <c r="Y13" s="16">
        <f>SUM(Y7:Y12)</f>
        <v>1117630.91774543</v>
      </c>
      <c r="AD13" s="16">
        <f>SUM(AD7:AD12)</f>
        <v>0.27313356158287755</v>
      </c>
      <c r="AE13" s="136"/>
      <c r="AI13" s="16">
        <f>SUM(AI7:AI12)</f>
        <v>1484125.1725622399</v>
      </c>
      <c r="AN13" s="16">
        <f>SUM(AN7:AN12)</f>
        <v>0.27566634862243561</v>
      </c>
      <c r="AO13" s="136"/>
    </row>
    <row r="14" spans="1:42" x14ac:dyDescent="0.2">
      <c r="K14" s="18"/>
    </row>
    <row r="15" spans="1:42" x14ac:dyDescent="0.2">
      <c r="A15" s="11" t="s">
        <v>122</v>
      </c>
      <c r="B15" s="11"/>
      <c r="C15" s="11"/>
      <c r="D15" s="11"/>
      <c r="E15" s="11"/>
      <c r="F15" s="11"/>
      <c r="G15" s="11"/>
      <c r="H15" s="11"/>
      <c r="K15" s="18"/>
    </row>
    <row r="16" spans="1:42" ht="46" customHeight="1" x14ac:dyDescent="0.2">
      <c r="A16" s="17" t="s">
        <v>25</v>
      </c>
      <c r="B16" s="17" t="s">
        <v>24</v>
      </c>
      <c r="C16" s="17" t="s">
        <v>19</v>
      </c>
      <c r="D16" s="17" t="s">
        <v>116</v>
      </c>
      <c r="E16" s="17"/>
      <c r="F16" s="17"/>
      <c r="G16" s="17" t="s">
        <v>123</v>
      </c>
      <c r="H16" s="17" t="s">
        <v>21</v>
      </c>
      <c r="J16" s="17" t="s">
        <v>114</v>
      </c>
      <c r="K16" s="17" t="s">
        <v>82</v>
      </c>
      <c r="L16" s="24" t="s">
        <v>81</v>
      </c>
      <c r="M16" s="21" t="s">
        <v>87</v>
      </c>
      <c r="N16" s="17" t="s">
        <v>83</v>
      </c>
      <c r="O16" s="17" t="s">
        <v>84</v>
      </c>
      <c r="P16" s="17" t="s">
        <v>85</v>
      </c>
      <c r="Q16" s="17" t="s">
        <v>86</v>
      </c>
      <c r="R16" s="8"/>
      <c r="S16" s="17" t="s">
        <v>88</v>
      </c>
      <c r="U16" s="24" t="s">
        <v>90</v>
      </c>
      <c r="V16" s="21" t="s">
        <v>87</v>
      </c>
      <c r="X16" s="17" t="s">
        <v>100</v>
      </c>
      <c r="Y16" s="17" t="s">
        <v>105</v>
      </c>
      <c r="Z16" s="17" t="s">
        <v>102</v>
      </c>
      <c r="AA16" s="17" t="s">
        <v>101</v>
      </c>
      <c r="AB16" s="17" t="s">
        <v>103</v>
      </c>
      <c r="AC16" s="17" t="s">
        <v>104</v>
      </c>
      <c r="AE16" s="17" t="s">
        <v>106</v>
      </c>
      <c r="AH16" s="17" t="s">
        <v>100</v>
      </c>
      <c r="AI16" s="17" t="s">
        <v>105</v>
      </c>
      <c r="AJ16" s="17" t="s">
        <v>102</v>
      </c>
      <c r="AK16" s="17" t="s">
        <v>101</v>
      </c>
      <c r="AL16" s="17" t="s">
        <v>103</v>
      </c>
      <c r="AM16" s="17" t="s">
        <v>104</v>
      </c>
      <c r="AO16" s="17" t="s">
        <v>106</v>
      </c>
    </row>
    <row r="17" spans="1:42" x14ac:dyDescent="0.2">
      <c r="A17" s="8" t="s">
        <v>117</v>
      </c>
      <c r="B17" s="8">
        <v>286</v>
      </c>
      <c r="C17" s="8">
        <v>179.43699699999999</v>
      </c>
      <c r="D17" s="8">
        <f>C17*52</f>
        <v>9330.7238440000001</v>
      </c>
      <c r="E17" s="8"/>
      <c r="F17" s="8"/>
      <c r="G17" s="8">
        <v>179.0906502</v>
      </c>
      <c r="H17" s="8">
        <v>10564</v>
      </c>
      <c r="J17">
        <f>C17*52*B17</f>
        <v>2668587.019384</v>
      </c>
      <c r="K17" s="18">
        <f>H17*B17</f>
        <v>3021304</v>
      </c>
      <c r="L17" s="32">
        <v>0</v>
      </c>
      <c r="M17" s="26">
        <v>0.3</v>
      </c>
      <c r="N17">
        <f>B17*(H17-L17-S17)</f>
        <v>3021304</v>
      </c>
      <c r="O17" s="18">
        <f t="shared" ref="O17:O20" si="23">N17*$D$2</f>
        <v>60426.080000000002</v>
      </c>
      <c r="P17" s="18">
        <f>J17*$D$1</f>
        <v>53371.740387680002</v>
      </c>
      <c r="Q17" s="18">
        <f t="shared" ref="Q17:Q20" si="24">O17-P17</f>
        <v>7054.33961232</v>
      </c>
      <c r="S17" s="32">
        <v>0</v>
      </c>
      <c r="U17" s="23">
        <v>5000</v>
      </c>
      <c r="V17" s="26">
        <f>U17/H17</f>
        <v>0.47330556607345703</v>
      </c>
      <c r="W17">
        <v>177.238495</v>
      </c>
      <c r="X17">
        <v>177.238495</v>
      </c>
      <c r="Y17">
        <f t="shared" ref="Y17:Y20" si="25">B17*X17</f>
        <v>50690.209569999999</v>
      </c>
      <c r="Z17">
        <f t="shared" ref="Z17:Z20" si="26">Y17/$Y$23</f>
        <v>0.25831879555506648</v>
      </c>
      <c r="AA17">
        <f>Z17</f>
        <v>0.25831879555506648</v>
      </c>
      <c r="AB17">
        <f t="shared" ref="AB17:AB20" si="27">B17/$B$23</f>
        <v>0.18828176431863067</v>
      </c>
      <c r="AC17">
        <f>AB17</f>
        <v>0.18828176431863067</v>
      </c>
      <c r="AD17">
        <f>AA17*AC17</f>
        <v>4.8636718583771568E-2</v>
      </c>
      <c r="AE17" s="135">
        <f>1-AD23</f>
        <v>0.72617025206770769</v>
      </c>
      <c r="AF17">
        <f t="shared" ref="AF17:AF20" si="28">AA17*AC17</f>
        <v>4.8636718583771568E-2</v>
      </c>
      <c r="AH17">
        <f>P17/B17</f>
        <v>186.61447688000001</v>
      </c>
      <c r="AI17">
        <f>B17*AH17</f>
        <v>53371.740387680002</v>
      </c>
      <c r="AJ17">
        <f>AI17/$AI$23</f>
        <v>0.27432259732756048</v>
      </c>
      <c r="AK17">
        <f>AJ17</f>
        <v>0.27432259732756048</v>
      </c>
      <c r="AL17">
        <f>B17/$B$23</f>
        <v>0.18828176431863067</v>
      </c>
      <c r="AM17">
        <f>AL17</f>
        <v>0.18828176431863067</v>
      </c>
      <c r="AN17">
        <f>AK17*AM17</f>
        <v>5.1649942617302366E-2</v>
      </c>
      <c r="AO17" s="135">
        <f>1-AN23</f>
        <v>0.72589611768027518</v>
      </c>
      <c r="AP17">
        <f t="shared" ref="AP17:AP20" si="29">AK17*AM17</f>
        <v>5.1649942617302366E-2</v>
      </c>
    </row>
    <row r="18" spans="1:42" x14ac:dyDescent="0.2">
      <c r="A18" s="8" t="s">
        <v>119</v>
      </c>
      <c r="B18" s="8">
        <v>551</v>
      </c>
      <c r="C18" s="8">
        <v>131.273675</v>
      </c>
      <c r="D18" s="8">
        <f t="shared" ref="D18:D20" si="30">C18*52</f>
        <v>6826.2311</v>
      </c>
      <c r="E18" s="8"/>
      <c r="F18" s="8"/>
      <c r="G18" s="8">
        <v>131.2475704</v>
      </c>
      <c r="H18" s="8">
        <v>11651</v>
      </c>
      <c r="J18">
        <f t="shared" ref="J18:J20" si="31">C18*52*B18</f>
        <v>3761253.3361</v>
      </c>
      <c r="K18" s="18">
        <f t="shared" ref="K18:K20" si="32">H18*B18</f>
        <v>6419701</v>
      </c>
      <c r="L18" s="32">
        <v>0</v>
      </c>
      <c r="M18" s="26">
        <v>0.25</v>
      </c>
      <c r="N18">
        <f t="shared" ref="N18:N20" si="33">B18*(H18-L18-S18)</f>
        <v>6419701</v>
      </c>
      <c r="O18" s="18">
        <f t="shared" si="23"/>
        <v>128394.02</v>
      </c>
      <c r="P18" s="18">
        <f t="shared" ref="P18:P20" si="34">J18*$D$1</f>
        <v>75225.066722000003</v>
      </c>
      <c r="Q18" s="18">
        <f t="shared" si="24"/>
        <v>53168.953278000001</v>
      </c>
      <c r="S18" s="32">
        <v>0</v>
      </c>
      <c r="U18" s="23">
        <v>4000</v>
      </c>
      <c r="V18" s="26">
        <f t="shared" ref="V18:V20" si="35">U18/H18</f>
        <v>0.34331817011415328</v>
      </c>
      <c r="W18">
        <v>135.8148415</v>
      </c>
      <c r="X18">
        <v>135.8148415</v>
      </c>
      <c r="Y18">
        <f t="shared" si="25"/>
        <v>74833.977666499995</v>
      </c>
      <c r="Z18">
        <f t="shared" si="26"/>
        <v>0.38135614631283177</v>
      </c>
      <c r="AA18">
        <f>Z18+AA17</f>
        <v>0.63967494186789819</v>
      </c>
      <c r="AB18">
        <f t="shared" si="27"/>
        <v>0.36273864384463461</v>
      </c>
      <c r="AC18">
        <f>AB18+AC17</f>
        <v>0.55102040816326525</v>
      </c>
      <c r="AD18">
        <f>(AA18-AA17)*(AC18-AC17)</f>
        <v>0.13833261133533262</v>
      </c>
      <c r="AE18" s="136"/>
      <c r="AF18">
        <f t="shared" si="28"/>
        <v>0.35247394755986222</v>
      </c>
      <c r="AH18">
        <f t="shared" ref="AH18:AH20" si="36">P18/B18</f>
        <v>136.52462199999999</v>
      </c>
      <c r="AI18">
        <f t="shared" ref="AI18:AI20" si="37">B18*AH18</f>
        <v>75225.066722000003</v>
      </c>
      <c r="AJ18">
        <f t="shared" ref="AJ18:AJ20" si="38">AI18/$AI$23</f>
        <v>0.38664535833801567</v>
      </c>
      <c r="AK18">
        <f>AJ18+AK17</f>
        <v>0.66096795566557609</v>
      </c>
      <c r="AL18">
        <f t="shared" ref="AL18:AL20" si="39">B18/$B$23</f>
        <v>0.36273864384463461</v>
      </c>
      <c r="AM18">
        <f>AL18+AM17</f>
        <v>0.55102040816326525</v>
      </c>
      <c r="AN18">
        <f>(AK18-AK17)*(AM18-AM17)</f>
        <v>0.14025121293235457</v>
      </c>
      <c r="AO18" s="136"/>
      <c r="AP18">
        <f t="shared" si="29"/>
        <v>0.36420683271368476</v>
      </c>
    </row>
    <row r="19" spans="1:42" x14ac:dyDescent="0.2">
      <c r="A19" s="8" t="s">
        <v>120</v>
      </c>
      <c r="B19" s="8">
        <v>409</v>
      </c>
      <c r="C19" s="8">
        <v>108.666027</v>
      </c>
      <c r="D19" s="8">
        <f t="shared" si="30"/>
        <v>5650.6334040000002</v>
      </c>
      <c r="E19" s="8"/>
      <c r="F19" s="8"/>
      <c r="G19" s="8">
        <v>108.86513189999999</v>
      </c>
      <c r="H19" s="8">
        <v>13869</v>
      </c>
      <c r="J19">
        <f t="shared" si="31"/>
        <v>2311109.0622359999</v>
      </c>
      <c r="K19" s="18">
        <f t="shared" si="32"/>
        <v>5672421</v>
      </c>
      <c r="L19" s="32">
        <v>0</v>
      </c>
      <c r="M19" s="26">
        <v>0.2</v>
      </c>
      <c r="N19">
        <f t="shared" si="33"/>
        <v>5672421</v>
      </c>
      <c r="O19" s="18">
        <f t="shared" si="23"/>
        <v>113448.42</v>
      </c>
      <c r="P19" s="18">
        <f t="shared" si="34"/>
        <v>46222.181244719999</v>
      </c>
      <c r="Q19" s="18">
        <f t="shared" si="24"/>
        <v>67226.238755280006</v>
      </c>
      <c r="S19" s="32">
        <v>0</v>
      </c>
      <c r="U19" s="23">
        <v>3000</v>
      </c>
      <c r="V19" s="26">
        <f t="shared" si="35"/>
        <v>0.2163097555699762</v>
      </c>
      <c r="W19">
        <v>118.4366476</v>
      </c>
      <c r="X19">
        <v>118.4366476</v>
      </c>
      <c r="Y19">
        <f t="shared" si="25"/>
        <v>48440.588868400002</v>
      </c>
      <c r="Z19">
        <f t="shared" si="26"/>
        <v>0.24685466244094775</v>
      </c>
      <c r="AA19">
        <f t="shared" ref="AA19:AA20" si="40">Z19+AA18</f>
        <v>0.88652960430884598</v>
      </c>
      <c r="AB19">
        <f t="shared" si="27"/>
        <v>0.26925608953258723</v>
      </c>
      <c r="AC19">
        <f t="shared" ref="AC19:AC20" si="41">AB19+AC18</f>
        <v>0.82027649769585254</v>
      </c>
      <c r="AD19">
        <f t="shared" ref="AD19:AD20" si="42">(AA19-AA18)*(AC19-AC18)</f>
        <v>6.6467121091736442E-2</v>
      </c>
      <c r="AE19" s="136"/>
      <c r="AF19">
        <f t="shared" si="28"/>
        <v>0.72719939892615015</v>
      </c>
      <c r="AH19">
        <f t="shared" si="36"/>
        <v>113.01266808</v>
      </c>
      <c r="AI19">
        <f t="shared" si="37"/>
        <v>46222.181244719999</v>
      </c>
      <c r="AJ19">
        <f t="shared" si="38"/>
        <v>0.23757495485614266</v>
      </c>
      <c r="AK19">
        <f t="shared" ref="AK19:AK20" si="43">AJ19+AK18</f>
        <v>0.89854291052171875</v>
      </c>
      <c r="AL19">
        <f t="shared" si="39"/>
        <v>0.26925608953258723</v>
      </c>
      <c r="AM19">
        <f t="shared" ref="AM19:AM20" si="44">AL19+AM18</f>
        <v>0.82027649769585254</v>
      </c>
      <c r="AN19">
        <f t="shared" ref="AN19:AN20" si="45">(AK19-AK18)*(AM19-AM18)</f>
        <v>6.3968503315445929E-2</v>
      </c>
      <c r="AO19" s="136"/>
      <c r="AP19">
        <f t="shared" si="29"/>
        <v>0.73705363167219329</v>
      </c>
    </row>
    <row r="20" spans="1:42" x14ac:dyDescent="0.2">
      <c r="A20" s="8" t="s">
        <v>118</v>
      </c>
      <c r="B20" s="8">
        <v>273</v>
      </c>
      <c r="C20" s="8">
        <v>69.524231</v>
      </c>
      <c r="D20" s="8">
        <f t="shared" si="30"/>
        <v>3615.2600120000002</v>
      </c>
      <c r="E20" s="8"/>
      <c r="F20" s="8"/>
      <c r="G20" s="8">
        <v>69.865133049999997</v>
      </c>
      <c r="H20" s="8">
        <v>15376</v>
      </c>
      <c r="J20">
        <f t="shared" si="31"/>
        <v>986965.98327600001</v>
      </c>
      <c r="K20" s="18">
        <f t="shared" si="32"/>
        <v>4197648</v>
      </c>
      <c r="L20" s="32">
        <v>0</v>
      </c>
      <c r="M20" s="26">
        <v>0.15</v>
      </c>
      <c r="N20">
        <f t="shared" si="33"/>
        <v>4197648</v>
      </c>
      <c r="O20" s="18">
        <f t="shared" si="23"/>
        <v>83952.960000000006</v>
      </c>
      <c r="P20" s="18">
        <f t="shared" si="34"/>
        <v>19739.319665520001</v>
      </c>
      <c r="Q20" s="18">
        <f t="shared" si="24"/>
        <v>64213.640334480006</v>
      </c>
      <c r="S20" s="32">
        <v>0</v>
      </c>
      <c r="U20" s="23">
        <v>2000</v>
      </c>
      <c r="V20" s="26">
        <f t="shared" si="35"/>
        <v>0.13007284079084286</v>
      </c>
      <c r="W20">
        <v>81.562025410000004</v>
      </c>
      <c r="X20">
        <v>81.562025410000004</v>
      </c>
      <c r="Y20">
        <f t="shared" si="25"/>
        <v>22266.432936929999</v>
      </c>
      <c r="Z20">
        <f t="shared" si="26"/>
        <v>0.11347039569115396</v>
      </c>
      <c r="AA20">
        <f t="shared" si="40"/>
        <v>0.99999999999999989</v>
      </c>
      <c r="AB20">
        <f t="shared" si="27"/>
        <v>0.17972350230414746</v>
      </c>
      <c r="AC20">
        <f t="shared" si="41"/>
        <v>1</v>
      </c>
      <c r="AD20">
        <f t="shared" si="42"/>
        <v>2.0393296921451625E-2</v>
      </c>
      <c r="AE20" s="136"/>
      <c r="AF20">
        <f t="shared" si="28"/>
        <v>0.99999999999999989</v>
      </c>
      <c r="AH20">
        <f t="shared" si="36"/>
        <v>72.305200240000005</v>
      </c>
      <c r="AI20">
        <f t="shared" si="37"/>
        <v>19739.319665520001</v>
      </c>
      <c r="AJ20">
        <f t="shared" si="38"/>
        <v>0.1014570894782811</v>
      </c>
      <c r="AK20">
        <f t="shared" si="43"/>
        <v>0.99999999999999989</v>
      </c>
      <c r="AL20">
        <f t="shared" si="39"/>
        <v>0.17972350230414746</v>
      </c>
      <c r="AM20">
        <f t="shared" si="44"/>
        <v>1</v>
      </c>
      <c r="AN20">
        <f t="shared" si="45"/>
        <v>1.8234223454621955E-2</v>
      </c>
      <c r="AO20" s="136"/>
      <c r="AP20">
        <f t="shared" si="29"/>
        <v>0.99999999999999989</v>
      </c>
    </row>
    <row r="21" spans="1:42" x14ac:dyDescent="0.2">
      <c r="A21" s="8"/>
      <c r="B21" s="8"/>
      <c r="C21" s="8"/>
      <c r="D21" s="8"/>
      <c r="E21" s="8"/>
      <c r="F21" s="8"/>
      <c r="G21" s="8"/>
      <c r="H21" s="8"/>
      <c r="K21" s="18"/>
      <c r="M21" s="26"/>
      <c r="O21" s="18"/>
      <c r="P21" s="18"/>
      <c r="Q21" s="18"/>
      <c r="V21" s="26"/>
      <c r="AE21" s="136"/>
      <c r="AO21" s="136"/>
    </row>
    <row r="22" spans="1:42" x14ac:dyDescent="0.2">
      <c r="A22" s="8"/>
      <c r="B22" s="8"/>
      <c r="C22" s="8"/>
      <c r="D22" s="8"/>
      <c r="E22" s="8"/>
      <c r="F22" s="8"/>
      <c r="G22" s="8"/>
      <c r="H22" s="8"/>
      <c r="K22" s="18"/>
      <c r="M22" s="26"/>
      <c r="O22" s="18"/>
      <c r="P22" s="18"/>
      <c r="Q22" s="18"/>
      <c r="V22" s="26"/>
      <c r="AE22" s="136"/>
      <c r="AO22" s="136"/>
    </row>
    <row r="23" spans="1:42" s="16" customFormat="1" x14ac:dyDescent="0.2">
      <c r="B23" s="16">
        <f>SUM(B17:B22)</f>
        <v>1519</v>
      </c>
      <c r="G23">
        <f>SUM(G17:G20)/4</f>
        <v>122.2671213875</v>
      </c>
      <c r="H23" s="16">
        <f>SUM(H17:H22)</f>
        <v>51460</v>
      </c>
      <c r="J23" s="19">
        <f>SUM(J17:J22)</f>
        <v>9727915.4009959996</v>
      </c>
      <c r="K23" s="19">
        <f>SUM(K17:K22)</f>
        <v>19311074</v>
      </c>
      <c r="L23" s="25">
        <f>SUM(L17:L22)</f>
        <v>0</v>
      </c>
      <c r="M23" s="22"/>
      <c r="N23" s="16">
        <f>SUM(N17:N22)</f>
        <v>19311074</v>
      </c>
      <c r="O23" s="19">
        <f>N23*$D$2</f>
        <v>386221.48</v>
      </c>
      <c r="P23" s="19">
        <f>K23*$D$1</f>
        <v>386221.48</v>
      </c>
      <c r="Q23" s="19">
        <f>O23-P23</f>
        <v>0</v>
      </c>
      <c r="U23" s="25">
        <f>SUM(U17:U22)</f>
        <v>14000</v>
      </c>
      <c r="V23" s="22"/>
      <c r="Y23" s="16">
        <f>SUM(Y17:Y22)</f>
        <v>196231.20904183001</v>
      </c>
      <c r="AD23" s="16">
        <f>SUM(AD17:AD22)</f>
        <v>0.27382974793229231</v>
      </c>
      <c r="AE23" s="136"/>
      <c r="AI23" s="16">
        <f>SUM(AI17:AI22)</f>
        <v>194558.30801992002</v>
      </c>
      <c r="AN23" s="16">
        <f>SUM(AN17:AN22)</f>
        <v>0.27410388231972477</v>
      </c>
      <c r="AO23" s="136"/>
    </row>
    <row r="24" spans="1:42" x14ac:dyDescent="0.2">
      <c r="K24" s="18"/>
    </row>
    <row r="25" spans="1:42" x14ac:dyDescent="0.2">
      <c r="U25" s="25"/>
    </row>
  </sheetData>
  <mergeCells count="4">
    <mergeCell ref="AE7:AE13"/>
    <mergeCell ref="AO7:AO13"/>
    <mergeCell ref="AE17:AE23"/>
    <mergeCell ref="AO17:AO2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071A-8FAF-0941-8177-ECBF5DFDBA3A}">
  <dimension ref="A1:AP25"/>
  <sheetViews>
    <sheetView zoomScale="114" workbookViewId="0">
      <selection activeCell="P13" sqref="P13"/>
    </sheetView>
  </sheetViews>
  <sheetFormatPr baseColWidth="10" defaultRowHeight="15" x14ac:dyDescent="0.2"/>
  <cols>
    <col min="1" max="1" width="7.1640625" customWidth="1"/>
    <col min="2" max="2" width="9.83203125" bestFit="1" customWidth="1"/>
    <col min="3" max="4" width="11.83203125" customWidth="1"/>
    <col min="5" max="6" width="6.1640625" bestFit="1" customWidth="1"/>
    <col min="7" max="8" width="11.83203125" customWidth="1"/>
    <col min="9" max="9" width="9.6640625" customWidth="1"/>
    <col min="10" max="11" width="12.33203125" bestFit="1" customWidth="1"/>
    <col min="12" max="12" width="11.33203125" style="23" customWidth="1"/>
    <col min="13" max="13" width="11" style="20" bestFit="1" customWidth="1"/>
    <col min="14" max="17" width="11" bestFit="1" customWidth="1"/>
    <col min="19" max="19" width="11" bestFit="1" customWidth="1"/>
    <col min="21" max="21" width="11" style="23" bestFit="1" customWidth="1"/>
    <col min="22" max="22" width="11" style="20" bestFit="1" customWidth="1"/>
  </cols>
  <sheetData>
    <row r="1" spans="1:42" x14ac:dyDescent="0.2">
      <c r="A1" s="11" t="s">
        <v>93</v>
      </c>
      <c r="D1">
        <v>0.02</v>
      </c>
      <c r="E1" t="s">
        <v>97</v>
      </c>
      <c r="G1" s="11" t="s">
        <v>91</v>
      </c>
      <c r="J1" s="18">
        <f>P13+P23</f>
        <v>2202840.6898913244</v>
      </c>
      <c r="N1" s="11" t="s">
        <v>127</v>
      </c>
      <c r="P1" t="s">
        <v>131</v>
      </c>
      <c r="Q1">
        <f>AE7</f>
        <v>0.72762667056259489</v>
      </c>
      <c r="R1" s="11" t="s">
        <v>113</v>
      </c>
      <c r="S1">
        <f>AO7</f>
        <v>0.71591512355717946</v>
      </c>
    </row>
    <row r="2" spans="1:42" x14ac:dyDescent="0.2">
      <c r="A2" s="11" t="s">
        <v>98</v>
      </c>
      <c r="D2">
        <v>0.02</v>
      </c>
      <c r="E2" t="s">
        <v>97</v>
      </c>
      <c r="G2" s="11" t="s">
        <v>92</v>
      </c>
      <c r="J2" s="18">
        <f>O13+O23</f>
        <v>2202840.6898913244</v>
      </c>
      <c r="N2" s="11" t="s">
        <v>128</v>
      </c>
      <c r="P2" s="33" t="s">
        <v>131</v>
      </c>
      <c r="Q2">
        <f>AE17</f>
        <v>0.72617025206770769</v>
      </c>
      <c r="R2" t="s">
        <v>129</v>
      </c>
      <c r="S2">
        <f>AO17</f>
        <v>0.72589611768027518</v>
      </c>
      <c r="AH2" t="s">
        <v>126</v>
      </c>
    </row>
    <row r="3" spans="1:42" x14ac:dyDescent="0.2">
      <c r="G3" s="11" t="s">
        <v>86</v>
      </c>
      <c r="I3" t="s">
        <v>89</v>
      </c>
      <c r="J3" s="18">
        <f>Q13+Q23</f>
        <v>0</v>
      </c>
      <c r="N3" s="11"/>
      <c r="U3" s="30" t="s">
        <v>81</v>
      </c>
      <c r="X3" s="11" t="s">
        <v>106</v>
      </c>
      <c r="AH3" s="11" t="s">
        <v>112</v>
      </c>
    </row>
    <row r="4" spans="1:42" x14ac:dyDescent="0.2">
      <c r="G4" s="11"/>
      <c r="K4" s="18"/>
      <c r="L4" s="23" t="s">
        <v>95</v>
      </c>
      <c r="M4" s="20" t="s">
        <v>94</v>
      </c>
      <c r="U4" s="23" t="s">
        <v>96</v>
      </c>
      <c r="V4" s="20" t="s">
        <v>95</v>
      </c>
    </row>
    <row r="5" spans="1:42" x14ac:dyDescent="0.2">
      <c r="A5" s="11" t="s">
        <v>121</v>
      </c>
      <c r="B5" s="11"/>
      <c r="C5" s="11"/>
      <c r="D5" s="11"/>
      <c r="E5" s="11"/>
      <c r="F5" s="11"/>
      <c r="G5" s="11"/>
      <c r="H5" s="28" t="s">
        <v>110</v>
      </c>
      <c r="I5" s="31"/>
      <c r="L5" s="28" t="s">
        <v>110</v>
      </c>
      <c r="M5" s="28" t="s">
        <v>110</v>
      </c>
      <c r="S5" s="29" t="s">
        <v>110</v>
      </c>
      <c r="X5" s="28" t="s">
        <v>110</v>
      </c>
      <c r="AH5" s="28" t="s">
        <v>110</v>
      </c>
    </row>
    <row r="6" spans="1:42" ht="48" x14ac:dyDescent="0.2">
      <c r="A6" s="17" t="s">
        <v>25</v>
      </c>
      <c r="B6" s="17" t="s">
        <v>24</v>
      </c>
      <c r="C6" s="17" t="s">
        <v>19</v>
      </c>
      <c r="D6" s="17" t="s">
        <v>116</v>
      </c>
      <c r="E6" s="17"/>
      <c r="F6" s="17"/>
      <c r="G6" s="17" t="s">
        <v>125</v>
      </c>
      <c r="H6" s="17" t="s">
        <v>124</v>
      </c>
      <c r="J6" s="17" t="s">
        <v>114</v>
      </c>
      <c r="K6" s="17" t="s">
        <v>115</v>
      </c>
      <c r="L6" s="24" t="s">
        <v>81</v>
      </c>
      <c r="M6" s="21" t="s">
        <v>87</v>
      </c>
      <c r="N6" s="17" t="s">
        <v>83</v>
      </c>
      <c r="O6" s="17" t="s">
        <v>84</v>
      </c>
      <c r="P6" s="17" t="s">
        <v>85</v>
      </c>
      <c r="Q6" s="17" t="s">
        <v>86</v>
      </c>
      <c r="R6" s="8"/>
      <c r="S6" s="17" t="s">
        <v>111</v>
      </c>
      <c r="U6" s="24" t="s">
        <v>90</v>
      </c>
      <c r="V6" s="21" t="s">
        <v>87</v>
      </c>
      <c r="X6" s="17" t="s">
        <v>100</v>
      </c>
      <c r="Y6" s="17" t="s">
        <v>105</v>
      </c>
      <c r="Z6" s="17" t="s">
        <v>102</v>
      </c>
      <c r="AA6" s="17" t="s">
        <v>101</v>
      </c>
      <c r="AB6" s="17" t="s">
        <v>103</v>
      </c>
      <c r="AC6" s="17" t="s">
        <v>104</v>
      </c>
      <c r="AE6" s="17" t="s">
        <v>106</v>
      </c>
      <c r="AH6" s="17" t="s">
        <v>100</v>
      </c>
      <c r="AI6" s="17" t="s">
        <v>105</v>
      </c>
      <c r="AJ6" s="17" t="s">
        <v>102</v>
      </c>
      <c r="AK6" s="17" t="s">
        <v>101</v>
      </c>
      <c r="AL6" s="17" t="s">
        <v>103</v>
      </c>
      <c r="AM6" s="17" t="s">
        <v>104</v>
      </c>
      <c r="AO6" s="17" t="s">
        <v>106</v>
      </c>
    </row>
    <row r="7" spans="1:42" x14ac:dyDescent="0.2">
      <c r="A7" s="8" t="s">
        <v>117</v>
      </c>
      <c r="B7" s="8">
        <f>3001+B17</f>
        <v>3287</v>
      </c>
      <c r="C7" s="8">
        <f>(160.53819+C17)/2</f>
        <v>169.9875935</v>
      </c>
      <c r="D7" s="8">
        <f>C7*52</f>
        <v>8839.3548620000001</v>
      </c>
      <c r="E7" s="8"/>
      <c r="F7" s="8"/>
      <c r="G7">
        <f>(G17+160.5381896)/2</f>
        <v>169.98759304999999</v>
      </c>
      <c r="H7" s="8">
        <f>52*G7</f>
        <v>8839.3548386000002</v>
      </c>
      <c r="J7">
        <f>C7*52*B7</f>
        <v>29054959.431394</v>
      </c>
      <c r="K7" s="18">
        <f>H7*B7</f>
        <v>29054959.354478199</v>
      </c>
      <c r="L7" s="23">
        <v>0</v>
      </c>
      <c r="M7" s="26">
        <v>0.5</v>
      </c>
      <c r="N7">
        <f>B7*(H7-L7-S7)</f>
        <v>29054959.354478199</v>
      </c>
      <c r="O7" s="18">
        <f t="shared" ref="O7:O10" si="0">N7*$D$2</f>
        <v>581099.18708956405</v>
      </c>
      <c r="P7" s="18">
        <f>J7*$D$1</f>
        <v>581099.18862787995</v>
      </c>
      <c r="Q7" s="18">
        <f t="shared" ref="Q7:Q10" si="1">O7-P7</f>
        <v>-1.5383159043267369E-3</v>
      </c>
      <c r="S7" s="32">
        <v>0</v>
      </c>
      <c r="U7" s="23">
        <v>5000</v>
      </c>
      <c r="V7" s="26">
        <f>U7/H7</f>
        <v>0.56565214218642146</v>
      </c>
      <c r="W7">
        <v>110.2376996</v>
      </c>
      <c r="X7">
        <v>110.2376996</v>
      </c>
      <c r="Y7">
        <f t="shared" ref="Y7:Y10" si="2">B7*X7</f>
        <v>362351.3185852</v>
      </c>
      <c r="Z7">
        <f>Y7/$Y$13</f>
        <v>0.29213078338619963</v>
      </c>
      <c r="AA7">
        <f>Z7</f>
        <v>0.29213078338619963</v>
      </c>
      <c r="AB7">
        <f t="shared" ref="AB7:AB10" si="3">B7/$B$13</f>
        <v>0.21737980292308709</v>
      </c>
      <c r="AC7">
        <f>AB7</f>
        <v>0.21737980292308709</v>
      </c>
      <c r="AD7">
        <f>AA7*AC7</f>
        <v>6.3503332120259118E-2</v>
      </c>
      <c r="AE7" s="135">
        <f>1-AD13</f>
        <v>0.72762667056259489</v>
      </c>
      <c r="AF7">
        <f t="shared" ref="AF7:AF10" si="4">AA7*AC7</f>
        <v>6.3503332120259118E-2</v>
      </c>
      <c r="AH7">
        <f>P7/B7</f>
        <v>176.78709723999998</v>
      </c>
      <c r="AI7">
        <f>B7*AH7</f>
        <v>581099.18862787995</v>
      </c>
      <c r="AJ7">
        <f>AI7/$AI$13</f>
        <v>0.29707733344426229</v>
      </c>
      <c r="AK7">
        <f>AJ7</f>
        <v>0.29707733344426229</v>
      </c>
      <c r="AL7">
        <f>B7/$B$13</f>
        <v>0.21737980292308709</v>
      </c>
      <c r="AM7">
        <f>AL7</f>
        <v>0.21737980292308709</v>
      </c>
      <c r="AN7">
        <f>AK7*AM7</f>
        <v>6.4578612197029969E-2</v>
      </c>
      <c r="AO7" s="135">
        <f>1-AN13</f>
        <v>0.71591512355717946</v>
      </c>
      <c r="AP7">
        <f t="shared" ref="AP7:AP10" si="5">AK7*AM7</f>
        <v>6.4578612197029969E-2</v>
      </c>
    </row>
    <row r="8" spans="1:42" x14ac:dyDescent="0.2">
      <c r="A8" s="8" t="s">
        <v>119</v>
      </c>
      <c r="B8" s="8">
        <f>5053+B18</f>
        <v>5604</v>
      </c>
      <c r="C8" s="8">
        <f>(C17+105.512298)/2</f>
        <v>142.4746475</v>
      </c>
      <c r="D8" s="8">
        <f t="shared" ref="D8:D10" si="6">C8*52</f>
        <v>7408.6816699999999</v>
      </c>
      <c r="E8" s="8"/>
      <c r="F8" s="8"/>
      <c r="G8">
        <f>(G18+105.5122984)/2</f>
        <v>118.40288515</v>
      </c>
      <c r="H8" s="8">
        <f>52*G8</f>
        <v>6156.9500278000005</v>
      </c>
      <c r="J8">
        <f t="shared" ref="J8:J10" si="7">C8*52*B8</f>
        <v>41518252.078680001</v>
      </c>
      <c r="K8" s="18">
        <f t="shared" ref="K8:K10" si="8">H8*B8</f>
        <v>34503547.955791205</v>
      </c>
      <c r="L8" s="23">
        <v>0</v>
      </c>
      <c r="M8" s="26">
        <v>0.4</v>
      </c>
      <c r="N8">
        <f t="shared" ref="N8:N10" si="9">B8*(H8-L8-S8)</f>
        <v>34503547.955791205</v>
      </c>
      <c r="O8" s="18">
        <f t="shared" si="0"/>
        <v>690070.95911582408</v>
      </c>
      <c r="P8" s="18">
        <f t="shared" ref="P8:P10" si="10">J8*$D$1</f>
        <v>830365.04157360003</v>
      </c>
      <c r="Q8" s="18">
        <f t="shared" si="1"/>
        <v>-140294.08245777595</v>
      </c>
      <c r="S8" s="32">
        <v>0</v>
      </c>
      <c r="U8" s="23">
        <v>4000</v>
      </c>
      <c r="V8" s="26">
        <f t="shared" ref="V8:V10" si="11">U8/H8</f>
        <v>0.64967231858941676</v>
      </c>
      <c r="W8">
        <v>80.976028409999998</v>
      </c>
      <c r="X8">
        <v>80.976028409999998</v>
      </c>
      <c r="Y8">
        <f t="shared" si="2"/>
        <v>453789.66320964001</v>
      </c>
      <c r="Z8">
        <f t="shared" ref="Z8:Z10" si="12">Y8/$Y$13</f>
        <v>0.36584917180264509</v>
      </c>
      <c r="AA8">
        <f>Z8+AA7</f>
        <v>0.65797995518884478</v>
      </c>
      <c r="AB8">
        <f t="shared" si="3"/>
        <v>0.37061040936446005</v>
      </c>
      <c r="AC8">
        <f>AB8+AC7</f>
        <v>0.58799021228754711</v>
      </c>
      <c r="AD8">
        <f>(AA8-AA7)*(AC8-AC7)</f>
        <v>0.13558751132742697</v>
      </c>
      <c r="AE8" s="136"/>
      <c r="AF8">
        <f t="shared" si="4"/>
        <v>0.38688577353243958</v>
      </c>
      <c r="AH8">
        <f t="shared" ref="AH8:AH10" si="13">P8/B8</f>
        <v>148.1736334</v>
      </c>
      <c r="AI8">
        <f t="shared" ref="AI8:AI10" si="14">B8*AH8</f>
        <v>830365.04157360003</v>
      </c>
      <c r="AJ8">
        <f t="shared" ref="AJ8:AJ10" si="15">AI8/$AI$13</f>
        <v>0.4245103713162951</v>
      </c>
      <c r="AK8">
        <f>AJ8+AK7</f>
        <v>0.72158770476055745</v>
      </c>
      <c r="AL8">
        <f t="shared" ref="AL8:AL10" si="16">B8/$B$13</f>
        <v>0.37061040936446005</v>
      </c>
      <c r="AM8">
        <f>AL8+AM7</f>
        <v>0.58799021228754711</v>
      </c>
      <c r="AN8">
        <f>(AK8-AK7)*(AM8-AM7)</f>
        <v>0.15732796249299105</v>
      </c>
      <c r="AO8" s="136"/>
      <c r="AP8">
        <f t="shared" si="5"/>
        <v>0.42428650770624404</v>
      </c>
    </row>
    <row r="9" spans="1:42" x14ac:dyDescent="0.2">
      <c r="A9" s="8" t="s">
        <v>120</v>
      </c>
      <c r="B9" s="8">
        <f>3458+B19</f>
        <v>3867</v>
      </c>
      <c r="C9" s="8">
        <f>(C19+73.925839)/2</f>
        <v>91.295932999999991</v>
      </c>
      <c r="D9" s="8">
        <f t="shared" si="6"/>
        <v>4747.3885159999991</v>
      </c>
      <c r="E9" s="8"/>
      <c r="F9" s="8"/>
      <c r="G9">
        <f>(G19+73.92583921)/2</f>
        <v>91.395485554999993</v>
      </c>
      <c r="H9" s="8">
        <f>52*G9</f>
        <v>4752.5652488599999</v>
      </c>
      <c r="J9">
        <f t="shared" si="7"/>
        <v>18358151.391371995</v>
      </c>
      <c r="K9" s="18">
        <f t="shared" si="8"/>
        <v>18378169.817341618</v>
      </c>
      <c r="L9" s="23">
        <v>0</v>
      </c>
      <c r="M9" s="26">
        <v>0.3</v>
      </c>
      <c r="N9">
        <f t="shared" si="9"/>
        <v>18378169.817341618</v>
      </c>
      <c r="O9" s="18">
        <f t="shared" si="0"/>
        <v>367563.39634683239</v>
      </c>
      <c r="P9" s="18">
        <f t="shared" si="10"/>
        <v>367163.02782743989</v>
      </c>
      <c r="Q9" s="18">
        <f t="shared" si="1"/>
        <v>400.36851939250482</v>
      </c>
      <c r="S9" s="32">
        <v>0</v>
      </c>
      <c r="U9" s="23">
        <v>3000</v>
      </c>
      <c r="V9" s="26">
        <f t="shared" si="11"/>
        <v>0.63123804575215703</v>
      </c>
      <c r="W9">
        <v>63.9621511</v>
      </c>
      <c r="X9">
        <v>63.9621511</v>
      </c>
      <c r="Y9">
        <f t="shared" si="2"/>
        <v>247341.63830369999</v>
      </c>
      <c r="Z9">
        <f t="shared" si="12"/>
        <v>0.199408979229908</v>
      </c>
      <c r="AA9">
        <f t="shared" ref="AA9:AA10" si="17">Z9+AA8</f>
        <v>0.85738893441875275</v>
      </c>
      <c r="AB9">
        <f t="shared" si="3"/>
        <v>0.25573705442761724</v>
      </c>
      <c r="AC9">
        <f t="shared" ref="AC9:AC10" si="18">AB9+AC8</f>
        <v>0.84372726671516429</v>
      </c>
      <c r="AD9">
        <f t="shared" ref="AD9:AD10" si="19">(AA9-AA8)*(AC9-AC8)</f>
        <v>5.0996264974674556E-2</v>
      </c>
      <c r="AE9" s="136"/>
      <c r="AF9">
        <f t="shared" si="4"/>
        <v>0.72340242214896155</v>
      </c>
      <c r="AH9">
        <f t="shared" si="13"/>
        <v>94.947770319999975</v>
      </c>
      <c r="AI9">
        <f t="shared" si="14"/>
        <v>367163.02782743989</v>
      </c>
      <c r="AJ9">
        <f t="shared" si="15"/>
        <v>0.18770601539446735</v>
      </c>
      <c r="AK9">
        <f t="shared" ref="AK9:AK10" si="20">AJ9+AK8</f>
        <v>0.90929372015502485</v>
      </c>
      <c r="AL9">
        <f t="shared" si="16"/>
        <v>0.25573705442761724</v>
      </c>
      <c r="AM9">
        <f t="shared" ref="AM9:AM10" si="21">AL9+AM8</f>
        <v>0.84372726671516429</v>
      </c>
      <c r="AN9">
        <f t="shared" ref="AN9:AN10" si="22">(AK9-AK8)*(AM9-AM8)</f>
        <v>4.800338347532606E-2</v>
      </c>
      <c r="AO9" s="136"/>
      <c r="AP9">
        <f t="shared" si="5"/>
        <v>0.76719590514766267</v>
      </c>
    </row>
    <row r="10" spans="1:42" x14ac:dyDescent="0.2">
      <c r="A10" s="8" t="s">
        <v>118</v>
      </c>
      <c r="B10" s="8">
        <f>2090+B20</f>
        <v>2363</v>
      </c>
      <c r="C10" s="8">
        <f>(C20+74.870399)/2</f>
        <v>72.197315000000003</v>
      </c>
      <c r="D10" s="8">
        <f t="shared" si="6"/>
        <v>3754.2603800000002</v>
      </c>
      <c r="E10" s="8"/>
      <c r="F10" s="8"/>
      <c r="G10">
        <f>(G20+74.90330614)/2</f>
        <v>72.38421959499999</v>
      </c>
      <c r="H10" s="8">
        <f>52*G10</f>
        <v>3763.9794189399995</v>
      </c>
      <c r="J10">
        <f t="shared" si="7"/>
        <v>8871317.2779399995</v>
      </c>
      <c r="K10" s="18">
        <f t="shared" si="8"/>
        <v>8894283.3669552188</v>
      </c>
      <c r="L10" s="23">
        <v>0</v>
      </c>
      <c r="M10" s="26">
        <v>0.2</v>
      </c>
      <c r="N10">
        <f t="shared" si="9"/>
        <v>8894283.3669552188</v>
      </c>
      <c r="O10" s="18">
        <f t="shared" si="0"/>
        <v>177885.66733910437</v>
      </c>
      <c r="P10" s="18">
        <f t="shared" si="10"/>
        <v>177426.34555880001</v>
      </c>
      <c r="Q10" s="18">
        <f t="shared" si="1"/>
        <v>459.32178030436626</v>
      </c>
      <c r="S10" s="32">
        <v>0</v>
      </c>
      <c r="U10" s="23">
        <v>2000</v>
      </c>
      <c r="V10" s="26">
        <f t="shared" si="11"/>
        <v>0.53135253342145905</v>
      </c>
      <c r="W10">
        <v>74.858656069999995</v>
      </c>
      <c r="X10">
        <v>74.858656069999995</v>
      </c>
      <c r="Y10">
        <f t="shared" si="2"/>
        <v>176891.00429340999</v>
      </c>
      <c r="Z10">
        <f t="shared" si="12"/>
        <v>0.1426110655812475</v>
      </c>
      <c r="AA10">
        <f t="shared" si="17"/>
        <v>1.0000000000000002</v>
      </c>
      <c r="AB10">
        <f t="shared" si="3"/>
        <v>0.15627273328483565</v>
      </c>
      <c r="AC10">
        <f t="shared" si="18"/>
        <v>1</v>
      </c>
      <c r="AD10">
        <f t="shared" si="19"/>
        <v>2.2286221015044499E-2</v>
      </c>
      <c r="AE10" s="136"/>
      <c r="AF10">
        <f t="shared" si="4"/>
        <v>1.0000000000000002</v>
      </c>
      <c r="AH10">
        <f t="shared" si="13"/>
        <v>75.085207600000004</v>
      </c>
      <c r="AI10">
        <f t="shared" si="14"/>
        <v>177426.34555880001</v>
      </c>
      <c r="AJ10">
        <f t="shared" si="15"/>
        <v>9.0706279844975257E-2</v>
      </c>
      <c r="AK10">
        <f t="shared" si="20"/>
        <v>1</v>
      </c>
      <c r="AL10">
        <f t="shared" si="16"/>
        <v>0.15627273328483565</v>
      </c>
      <c r="AM10">
        <f t="shared" si="21"/>
        <v>1</v>
      </c>
      <c r="AN10">
        <f t="shared" si="22"/>
        <v>1.4174918277473469E-2</v>
      </c>
      <c r="AO10" s="136"/>
      <c r="AP10">
        <f t="shared" si="5"/>
        <v>1</v>
      </c>
    </row>
    <row r="11" spans="1:42" x14ac:dyDescent="0.2">
      <c r="A11" s="8"/>
      <c r="B11" s="8"/>
      <c r="C11" s="8"/>
      <c r="D11" s="8"/>
      <c r="E11" s="8"/>
      <c r="F11" s="8"/>
      <c r="G11" s="8"/>
      <c r="H11" s="8"/>
      <c r="K11" s="18"/>
      <c r="M11" s="26"/>
      <c r="O11" s="18"/>
      <c r="P11" s="18"/>
      <c r="Q11" s="18"/>
      <c r="V11" s="26"/>
      <c r="AE11" s="136"/>
      <c r="AO11" s="136"/>
    </row>
    <row r="12" spans="1:42" x14ac:dyDescent="0.2">
      <c r="A12" s="8"/>
      <c r="B12" s="8"/>
      <c r="C12" s="8"/>
      <c r="D12" s="8"/>
      <c r="E12" s="8"/>
      <c r="F12" s="8"/>
      <c r="G12" s="8"/>
      <c r="H12" s="8"/>
      <c r="K12" s="18"/>
      <c r="M12" s="26"/>
      <c r="O12" s="18"/>
      <c r="P12" s="18"/>
      <c r="Q12" s="18"/>
      <c r="V12" s="26"/>
      <c r="AE12" s="136"/>
      <c r="AO12" s="136"/>
    </row>
    <row r="13" spans="1:42" s="16" customFormat="1" x14ac:dyDescent="0.2">
      <c r="A13" s="16" t="s">
        <v>99</v>
      </c>
      <c r="B13" s="16">
        <f>SUM(B7:B12)</f>
        <v>15121</v>
      </c>
      <c r="G13">
        <f>SUM(G7:G10)/4</f>
        <v>113.04254583749999</v>
      </c>
      <c r="H13" s="16">
        <f>SUM(H7:H12)</f>
        <v>23512.849534199999</v>
      </c>
      <c r="J13" s="19">
        <f>SUM(J7:J12)</f>
        <v>97802680.179386005</v>
      </c>
      <c r="K13" s="19">
        <f>SUM(K7:K12)</f>
        <v>90830960.494566232</v>
      </c>
      <c r="L13" s="25">
        <f>SUM(L7:L12)</f>
        <v>0</v>
      </c>
      <c r="M13" s="22"/>
      <c r="N13" s="16">
        <f>SUM(N7:N12)</f>
        <v>90830960.494566232</v>
      </c>
      <c r="O13" s="19">
        <f>N13*$D$2</f>
        <v>1816619.2098913246</v>
      </c>
      <c r="P13" s="19">
        <f>K13*$D$1</f>
        <v>1816619.2098913246</v>
      </c>
      <c r="Q13" s="19">
        <f>O13-P13</f>
        <v>0</v>
      </c>
      <c r="U13" s="25">
        <f>SUM(U7:U12)</f>
        <v>14000</v>
      </c>
      <c r="V13" s="22"/>
      <c r="Y13" s="16">
        <f>SUM(Y7:Y12)</f>
        <v>1240373.6243919497</v>
      </c>
      <c r="AD13" s="16">
        <f>SUM(AD7:AD12)</f>
        <v>0.27237332943740516</v>
      </c>
      <c r="AE13" s="136"/>
      <c r="AI13" s="16">
        <f>SUM(AI7:AI12)</f>
        <v>1956053.6035877198</v>
      </c>
      <c r="AN13" s="16">
        <f>SUM(AN7:AN12)</f>
        <v>0.28408487644282054</v>
      </c>
      <c r="AO13" s="136"/>
    </row>
    <row r="14" spans="1:42" x14ac:dyDescent="0.2">
      <c r="K14" s="18"/>
    </row>
    <row r="15" spans="1:42" x14ac:dyDescent="0.2">
      <c r="A15" s="11" t="s">
        <v>122</v>
      </c>
      <c r="B15" s="11"/>
      <c r="C15" s="11"/>
      <c r="D15" s="11"/>
      <c r="E15" s="11"/>
      <c r="F15" s="11"/>
      <c r="G15" s="11"/>
      <c r="H15" s="11"/>
      <c r="K15" s="18"/>
    </row>
    <row r="16" spans="1:42" ht="46" customHeight="1" x14ac:dyDescent="0.2">
      <c r="A16" s="17" t="s">
        <v>25</v>
      </c>
      <c r="B16" s="17" t="s">
        <v>24</v>
      </c>
      <c r="C16" s="17" t="s">
        <v>19</v>
      </c>
      <c r="D16" s="17" t="s">
        <v>116</v>
      </c>
      <c r="E16" s="17"/>
      <c r="F16" s="17"/>
      <c r="G16" s="17" t="s">
        <v>123</v>
      </c>
      <c r="H16" s="17" t="s">
        <v>21</v>
      </c>
      <c r="J16" s="17" t="s">
        <v>114</v>
      </c>
      <c r="K16" s="17" t="s">
        <v>82</v>
      </c>
      <c r="L16" s="24" t="s">
        <v>81</v>
      </c>
      <c r="M16" s="21" t="s">
        <v>87</v>
      </c>
      <c r="N16" s="17" t="s">
        <v>83</v>
      </c>
      <c r="O16" s="17" t="s">
        <v>84</v>
      </c>
      <c r="P16" s="17" t="s">
        <v>85</v>
      </c>
      <c r="Q16" s="17" t="s">
        <v>86</v>
      </c>
      <c r="R16" s="8"/>
      <c r="S16" s="17" t="s">
        <v>88</v>
      </c>
      <c r="U16" s="24" t="s">
        <v>90</v>
      </c>
      <c r="V16" s="21" t="s">
        <v>87</v>
      </c>
      <c r="X16" s="17" t="s">
        <v>100</v>
      </c>
      <c r="Y16" s="17" t="s">
        <v>105</v>
      </c>
      <c r="Z16" s="17" t="s">
        <v>102</v>
      </c>
      <c r="AA16" s="17" t="s">
        <v>101</v>
      </c>
      <c r="AB16" s="17" t="s">
        <v>103</v>
      </c>
      <c r="AC16" s="17" t="s">
        <v>104</v>
      </c>
      <c r="AE16" s="17" t="s">
        <v>106</v>
      </c>
      <c r="AH16" s="17" t="s">
        <v>100</v>
      </c>
      <c r="AI16" s="17" t="s">
        <v>105</v>
      </c>
      <c r="AJ16" s="17" t="s">
        <v>102</v>
      </c>
      <c r="AK16" s="17" t="s">
        <v>101</v>
      </c>
      <c r="AL16" s="17" t="s">
        <v>103</v>
      </c>
      <c r="AM16" s="17" t="s">
        <v>104</v>
      </c>
      <c r="AO16" s="17" t="s">
        <v>106</v>
      </c>
    </row>
    <row r="17" spans="1:42" x14ac:dyDescent="0.2">
      <c r="A17" s="8" t="s">
        <v>117</v>
      </c>
      <c r="B17" s="8">
        <v>286</v>
      </c>
      <c r="C17" s="8">
        <v>179.43699699999999</v>
      </c>
      <c r="D17" s="8">
        <f>C17*52</f>
        <v>9330.7238440000001</v>
      </c>
      <c r="E17" s="8"/>
      <c r="F17" s="8"/>
      <c r="G17">
        <v>179.43699649999999</v>
      </c>
      <c r="H17" s="8">
        <v>10564</v>
      </c>
      <c r="J17">
        <f>C17*52*B17</f>
        <v>2668587.019384</v>
      </c>
      <c r="K17" s="18">
        <f>H17*B17</f>
        <v>3021304</v>
      </c>
      <c r="L17" s="32">
        <v>0</v>
      </c>
      <c r="M17" s="26">
        <v>0.3</v>
      </c>
      <c r="N17">
        <f>B17*(H17-L17-S17)</f>
        <v>3021304</v>
      </c>
      <c r="O17" s="18">
        <f t="shared" ref="O17:O20" si="23">N17*$D$2</f>
        <v>60426.080000000002</v>
      </c>
      <c r="P17" s="18">
        <f>J17*$D$1</f>
        <v>53371.740387680002</v>
      </c>
      <c r="Q17" s="18">
        <f t="shared" ref="Q17:Q20" si="24">O17-P17</f>
        <v>7054.33961232</v>
      </c>
      <c r="S17" s="32">
        <v>0</v>
      </c>
      <c r="U17" s="23">
        <v>5000</v>
      </c>
      <c r="V17" s="26">
        <f>U17/H17</f>
        <v>0.47330556607345703</v>
      </c>
      <c r="W17">
        <v>177.238495</v>
      </c>
      <c r="X17">
        <v>177.238495</v>
      </c>
      <c r="Y17">
        <f t="shared" ref="Y17:Y20" si="25">B17*X17</f>
        <v>50690.209569999999</v>
      </c>
      <c r="Z17">
        <f t="shared" ref="Z17:Z20" si="26">Y17/$Y$23</f>
        <v>0.25831879555506648</v>
      </c>
      <c r="AA17">
        <f>Z17</f>
        <v>0.25831879555506648</v>
      </c>
      <c r="AB17">
        <f t="shared" ref="AB17:AB20" si="27">B17/$B$23</f>
        <v>0.18828176431863067</v>
      </c>
      <c r="AC17">
        <f>AB17</f>
        <v>0.18828176431863067</v>
      </c>
      <c r="AD17">
        <f>AA17*AC17</f>
        <v>4.8636718583771568E-2</v>
      </c>
      <c r="AE17" s="135">
        <f>1-AD23</f>
        <v>0.72617025206770769</v>
      </c>
      <c r="AF17">
        <f t="shared" ref="AF17:AF20" si="28">AA17*AC17</f>
        <v>4.8636718583771568E-2</v>
      </c>
      <c r="AH17">
        <f>P17/B17</f>
        <v>186.61447688000001</v>
      </c>
      <c r="AI17">
        <f>B17*AH17</f>
        <v>53371.740387680002</v>
      </c>
      <c r="AJ17">
        <f>AI17/$AI$23</f>
        <v>0.27432259732756048</v>
      </c>
      <c r="AK17">
        <f>AJ17</f>
        <v>0.27432259732756048</v>
      </c>
      <c r="AL17">
        <f>B17/$B$23</f>
        <v>0.18828176431863067</v>
      </c>
      <c r="AM17">
        <f>AL17</f>
        <v>0.18828176431863067</v>
      </c>
      <c r="AN17">
        <f>AK17*AM17</f>
        <v>5.1649942617302366E-2</v>
      </c>
      <c r="AO17" s="135">
        <f>1-AN23</f>
        <v>0.72589611768027518</v>
      </c>
      <c r="AP17">
        <f t="shared" ref="AP17:AP20" si="29">AK17*AM17</f>
        <v>5.1649942617302366E-2</v>
      </c>
    </row>
    <row r="18" spans="1:42" x14ac:dyDescent="0.2">
      <c r="A18" s="8" t="s">
        <v>119</v>
      </c>
      <c r="B18" s="8">
        <v>551</v>
      </c>
      <c r="C18" s="8">
        <v>131.273675</v>
      </c>
      <c r="D18" s="8">
        <f t="shared" ref="D18:D20" si="30">C18*52</f>
        <v>6826.2311</v>
      </c>
      <c r="E18" s="8"/>
      <c r="F18" s="8"/>
      <c r="G18">
        <v>131.29347189999999</v>
      </c>
      <c r="H18" s="8">
        <v>11651</v>
      </c>
      <c r="J18">
        <f t="shared" ref="J18:J20" si="31">C18*52*B18</f>
        <v>3761253.3361</v>
      </c>
      <c r="K18" s="18">
        <f t="shared" ref="K18:K20" si="32">H18*B18</f>
        <v>6419701</v>
      </c>
      <c r="L18" s="32">
        <v>0</v>
      </c>
      <c r="M18" s="26">
        <v>0.25</v>
      </c>
      <c r="N18">
        <f t="shared" ref="N18:N20" si="33">B18*(H18-L18-S18)</f>
        <v>6419701</v>
      </c>
      <c r="O18" s="18">
        <f t="shared" si="23"/>
        <v>128394.02</v>
      </c>
      <c r="P18" s="18">
        <f t="shared" ref="P18:P20" si="34">J18*$D$1</f>
        <v>75225.066722000003</v>
      </c>
      <c r="Q18" s="18">
        <f t="shared" si="24"/>
        <v>53168.953278000001</v>
      </c>
      <c r="S18" s="32">
        <v>0</v>
      </c>
      <c r="U18" s="23">
        <v>4000</v>
      </c>
      <c r="V18" s="26">
        <f t="shared" ref="V18:V20" si="35">U18/H18</f>
        <v>0.34331817011415328</v>
      </c>
      <c r="W18">
        <v>135.8148415</v>
      </c>
      <c r="X18">
        <v>135.8148415</v>
      </c>
      <c r="Y18">
        <f t="shared" si="25"/>
        <v>74833.977666499995</v>
      </c>
      <c r="Z18">
        <f t="shared" si="26"/>
        <v>0.38135614631283177</v>
      </c>
      <c r="AA18">
        <f>Z18+AA17</f>
        <v>0.63967494186789819</v>
      </c>
      <c r="AB18">
        <f t="shared" si="27"/>
        <v>0.36273864384463461</v>
      </c>
      <c r="AC18">
        <f>AB18+AC17</f>
        <v>0.55102040816326525</v>
      </c>
      <c r="AD18">
        <f>(AA18-AA17)*(AC18-AC17)</f>
        <v>0.13833261133533262</v>
      </c>
      <c r="AE18" s="136"/>
      <c r="AF18">
        <f t="shared" si="28"/>
        <v>0.35247394755986222</v>
      </c>
      <c r="AH18">
        <f t="shared" ref="AH18:AH20" si="36">P18/B18</f>
        <v>136.52462199999999</v>
      </c>
      <c r="AI18">
        <f t="shared" ref="AI18:AI20" si="37">B18*AH18</f>
        <v>75225.066722000003</v>
      </c>
      <c r="AJ18">
        <f t="shared" ref="AJ18:AJ20" si="38">AI18/$AI$23</f>
        <v>0.38664535833801567</v>
      </c>
      <c r="AK18">
        <f>AJ18+AK17</f>
        <v>0.66096795566557609</v>
      </c>
      <c r="AL18">
        <f t="shared" ref="AL18:AL20" si="39">B18/$B$23</f>
        <v>0.36273864384463461</v>
      </c>
      <c r="AM18">
        <f>AL18+AM17</f>
        <v>0.55102040816326525</v>
      </c>
      <c r="AN18">
        <f>(AK18-AK17)*(AM18-AM17)</f>
        <v>0.14025121293235457</v>
      </c>
      <c r="AO18" s="136"/>
      <c r="AP18">
        <f t="shared" si="29"/>
        <v>0.36420683271368476</v>
      </c>
    </row>
    <row r="19" spans="1:42" x14ac:dyDescent="0.2">
      <c r="A19" s="8" t="s">
        <v>120</v>
      </c>
      <c r="B19" s="8">
        <v>409</v>
      </c>
      <c r="C19" s="8">
        <v>108.666027</v>
      </c>
      <c r="D19" s="8">
        <f t="shared" si="30"/>
        <v>5650.6334040000002</v>
      </c>
      <c r="E19" s="8"/>
      <c r="F19" s="8"/>
      <c r="G19">
        <v>108.86513189999999</v>
      </c>
      <c r="H19" s="8">
        <v>13869</v>
      </c>
      <c r="J19">
        <f t="shared" si="31"/>
        <v>2311109.0622359999</v>
      </c>
      <c r="K19" s="18">
        <f t="shared" si="32"/>
        <v>5672421</v>
      </c>
      <c r="L19" s="32">
        <v>0</v>
      </c>
      <c r="M19" s="26">
        <v>0.2</v>
      </c>
      <c r="N19">
        <f t="shared" si="33"/>
        <v>5672421</v>
      </c>
      <c r="O19" s="18">
        <f t="shared" si="23"/>
        <v>113448.42</v>
      </c>
      <c r="P19" s="18">
        <f t="shared" si="34"/>
        <v>46222.181244719999</v>
      </c>
      <c r="Q19" s="18">
        <f t="shared" si="24"/>
        <v>67226.238755280006</v>
      </c>
      <c r="S19" s="32">
        <v>0</v>
      </c>
      <c r="U19" s="23">
        <v>3000</v>
      </c>
      <c r="V19" s="26">
        <f t="shared" si="35"/>
        <v>0.2163097555699762</v>
      </c>
      <c r="W19">
        <v>118.4366476</v>
      </c>
      <c r="X19">
        <v>118.4366476</v>
      </c>
      <c r="Y19">
        <f t="shared" si="25"/>
        <v>48440.588868400002</v>
      </c>
      <c r="Z19">
        <f t="shared" si="26"/>
        <v>0.24685466244094775</v>
      </c>
      <c r="AA19">
        <f t="shared" ref="AA19:AA20" si="40">Z19+AA18</f>
        <v>0.88652960430884598</v>
      </c>
      <c r="AB19">
        <f t="shared" si="27"/>
        <v>0.26925608953258723</v>
      </c>
      <c r="AC19">
        <f t="shared" ref="AC19:AC20" si="41">AB19+AC18</f>
        <v>0.82027649769585254</v>
      </c>
      <c r="AD19">
        <f t="shared" ref="AD19:AD20" si="42">(AA19-AA18)*(AC19-AC18)</f>
        <v>6.6467121091736442E-2</v>
      </c>
      <c r="AE19" s="136"/>
      <c r="AF19">
        <f t="shared" si="28"/>
        <v>0.72719939892615015</v>
      </c>
      <c r="AH19">
        <f t="shared" si="36"/>
        <v>113.01266808</v>
      </c>
      <c r="AI19">
        <f t="shared" si="37"/>
        <v>46222.181244719999</v>
      </c>
      <c r="AJ19">
        <f t="shared" si="38"/>
        <v>0.23757495485614266</v>
      </c>
      <c r="AK19">
        <f t="shared" ref="AK19:AK20" si="43">AJ19+AK18</f>
        <v>0.89854291052171875</v>
      </c>
      <c r="AL19">
        <f t="shared" si="39"/>
        <v>0.26925608953258723</v>
      </c>
      <c r="AM19">
        <f t="shared" ref="AM19:AM20" si="44">AL19+AM18</f>
        <v>0.82027649769585254</v>
      </c>
      <c r="AN19">
        <f t="shared" ref="AN19:AN20" si="45">(AK19-AK18)*(AM19-AM18)</f>
        <v>6.3968503315445929E-2</v>
      </c>
      <c r="AO19" s="136"/>
      <c r="AP19">
        <f t="shared" si="29"/>
        <v>0.73705363167219329</v>
      </c>
    </row>
    <row r="20" spans="1:42" x14ac:dyDescent="0.2">
      <c r="A20" s="8" t="s">
        <v>118</v>
      </c>
      <c r="B20" s="8">
        <v>273</v>
      </c>
      <c r="C20" s="8">
        <v>69.524231</v>
      </c>
      <c r="D20" s="8">
        <f t="shared" si="30"/>
        <v>3615.2600120000002</v>
      </c>
      <c r="E20" s="8"/>
      <c r="F20" s="8"/>
      <c r="G20">
        <v>69.865133049999997</v>
      </c>
      <c r="H20" s="8">
        <v>15376</v>
      </c>
      <c r="J20">
        <f t="shared" si="31"/>
        <v>986965.98327600001</v>
      </c>
      <c r="K20" s="18">
        <f t="shared" si="32"/>
        <v>4197648</v>
      </c>
      <c r="L20" s="32">
        <v>0</v>
      </c>
      <c r="M20" s="26">
        <v>0.15</v>
      </c>
      <c r="N20">
        <f t="shared" si="33"/>
        <v>4197648</v>
      </c>
      <c r="O20" s="18">
        <f t="shared" si="23"/>
        <v>83952.960000000006</v>
      </c>
      <c r="P20" s="18">
        <f t="shared" si="34"/>
        <v>19739.319665520001</v>
      </c>
      <c r="Q20" s="18">
        <f t="shared" si="24"/>
        <v>64213.640334480006</v>
      </c>
      <c r="S20" s="32">
        <v>0</v>
      </c>
      <c r="U20" s="23">
        <v>2000</v>
      </c>
      <c r="V20" s="26">
        <f t="shared" si="35"/>
        <v>0.13007284079084286</v>
      </c>
      <c r="W20">
        <v>81.562025410000004</v>
      </c>
      <c r="X20">
        <v>81.562025410000004</v>
      </c>
      <c r="Y20">
        <f t="shared" si="25"/>
        <v>22266.432936929999</v>
      </c>
      <c r="Z20">
        <f t="shared" si="26"/>
        <v>0.11347039569115396</v>
      </c>
      <c r="AA20">
        <f t="shared" si="40"/>
        <v>0.99999999999999989</v>
      </c>
      <c r="AB20">
        <f t="shared" si="27"/>
        <v>0.17972350230414746</v>
      </c>
      <c r="AC20">
        <f t="shared" si="41"/>
        <v>1</v>
      </c>
      <c r="AD20">
        <f t="shared" si="42"/>
        <v>2.0393296921451625E-2</v>
      </c>
      <c r="AE20" s="136"/>
      <c r="AF20">
        <f t="shared" si="28"/>
        <v>0.99999999999999989</v>
      </c>
      <c r="AH20">
        <f t="shared" si="36"/>
        <v>72.305200240000005</v>
      </c>
      <c r="AI20">
        <f t="shared" si="37"/>
        <v>19739.319665520001</v>
      </c>
      <c r="AJ20">
        <f t="shared" si="38"/>
        <v>0.1014570894782811</v>
      </c>
      <c r="AK20">
        <f t="shared" si="43"/>
        <v>0.99999999999999989</v>
      </c>
      <c r="AL20">
        <f t="shared" si="39"/>
        <v>0.17972350230414746</v>
      </c>
      <c r="AM20">
        <f t="shared" si="44"/>
        <v>1</v>
      </c>
      <c r="AN20">
        <f t="shared" si="45"/>
        <v>1.8234223454621955E-2</v>
      </c>
      <c r="AO20" s="136"/>
      <c r="AP20">
        <f t="shared" si="29"/>
        <v>0.99999999999999989</v>
      </c>
    </row>
    <row r="21" spans="1:42" x14ac:dyDescent="0.2">
      <c r="A21" s="8"/>
      <c r="B21" s="8"/>
      <c r="C21" s="8"/>
      <c r="D21" s="8"/>
      <c r="E21" s="8"/>
      <c r="F21" s="8"/>
      <c r="G21" s="8"/>
      <c r="H21" s="8"/>
      <c r="K21" s="18"/>
      <c r="M21" s="26"/>
      <c r="O21" s="18"/>
      <c r="P21" s="18"/>
      <c r="Q21" s="18"/>
      <c r="V21" s="26"/>
      <c r="AE21" s="136"/>
      <c r="AO21" s="136"/>
    </row>
    <row r="22" spans="1:42" x14ac:dyDescent="0.2">
      <c r="A22" s="8"/>
      <c r="B22" s="8"/>
      <c r="C22" s="8"/>
      <c r="D22" s="8"/>
      <c r="E22" s="8"/>
      <c r="F22" s="8"/>
      <c r="G22" s="8"/>
      <c r="H22" s="8"/>
      <c r="K22" s="18"/>
      <c r="M22" s="26"/>
      <c r="O22" s="18"/>
      <c r="P22" s="18"/>
      <c r="Q22" s="18"/>
      <c r="V22" s="26"/>
      <c r="AE22" s="136"/>
      <c r="AO22" s="136"/>
    </row>
    <row r="23" spans="1:42" s="16" customFormat="1" x14ac:dyDescent="0.2">
      <c r="B23" s="16">
        <f>SUM(B17:B22)</f>
        <v>1519</v>
      </c>
      <c r="G23">
        <f>SUM(G17:G20)/4</f>
        <v>122.36518333749999</v>
      </c>
      <c r="H23" s="16">
        <f>SUM(H17:H22)</f>
        <v>51460</v>
      </c>
      <c r="J23" s="19">
        <f>SUM(J17:J22)</f>
        <v>9727915.4009959996</v>
      </c>
      <c r="K23" s="19">
        <f>SUM(K17:K22)</f>
        <v>19311074</v>
      </c>
      <c r="L23" s="25">
        <f>SUM(L17:L22)</f>
        <v>0</v>
      </c>
      <c r="M23" s="22"/>
      <c r="N23" s="16">
        <f>SUM(N17:N22)</f>
        <v>19311074</v>
      </c>
      <c r="O23" s="19">
        <f>N23*$D$2</f>
        <v>386221.48</v>
      </c>
      <c r="P23" s="19">
        <f>K23*$D$1</f>
        <v>386221.48</v>
      </c>
      <c r="Q23" s="19">
        <f>O23-P23</f>
        <v>0</v>
      </c>
      <c r="U23" s="25">
        <f>SUM(U17:U22)</f>
        <v>14000</v>
      </c>
      <c r="V23" s="22"/>
      <c r="Y23" s="16">
        <f>SUM(Y17:Y22)</f>
        <v>196231.20904183001</v>
      </c>
      <c r="AD23" s="16">
        <f>SUM(AD17:AD22)</f>
        <v>0.27382974793229231</v>
      </c>
      <c r="AE23" s="136"/>
      <c r="AI23" s="16">
        <f>SUM(AI17:AI22)</f>
        <v>194558.30801992002</v>
      </c>
      <c r="AN23" s="16">
        <f>SUM(AN17:AN22)</f>
        <v>0.27410388231972477</v>
      </c>
      <c r="AO23" s="136"/>
    </row>
    <row r="24" spans="1:42" x14ac:dyDescent="0.2">
      <c r="K24" s="18"/>
    </row>
    <row r="25" spans="1:42" x14ac:dyDescent="0.2">
      <c r="U25" s="25"/>
    </row>
  </sheetData>
  <mergeCells count="4">
    <mergeCell ref="AE7:AE13"/>
    <mergeCell ref="AO7:AO13"/>
    <mergeCell ref="AE17:AE23"/>
    <mergeCell ref="AO17:AO23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534B-B8E2-214D-82BC-D95E9285D662}">
  <dimension ref="A1:AP25"/>
  <sheetViews>
    <sheetView zoomScale="114" workbookViewId="0">
      <selection activeCell="P13" sqref="P13"/>
    </sheetView>
  </sheetViews>
  <sheetFormatPr baseColWidth="10" defaultRowHeight="15" x14ac:dyDescent="0.2"/>
  <cols>
    <col min="1" max="1" width="7.1640625" customWidth="1"/>
    <col min="2" max="2" width="9.83203125" bestFit="1" customWidth="1"/>
    <col min="3" max="4" width="11.83203125" customWidth="1"/>
    <col min="5" max="6" width="6.1640625" bestFit="1" customWidth="1"/>
    <col min="7" max="8" width="11.83203125" customWidth="1"/>
    <col min="9" max="9" width="9.6640625" customWidth="1"/>
    <col min="10" max="11" width="12.33203125" bestFit="1" customWidth="1"/>
    <col min="12" max="12" width="11.33203125" style="23" customWidth="1"/>
    <col min="13" max="13" width="11" style="20" bestFit="1" customWidth="1"/>
    <col min="14" max="17" width="11" bestFit="1" customWidth="1"/>
    <col min="19" max="19" width="11" bestFit="1" customWidth="1"/>
    <col min="21" max="21" width="11" style="23" bestFit="1" customWidth="1"/>
    <col min="22" max="22" width="11" style="20" bestFit="1" customWidth="1"/>
  </cols>
  <sheetData>
    <row r="1" spans="1:42" x14ac:dyDescent="0.2">
      <c r="A1" s="11" t="s">
        <v>93</v>
      </c>
      <c r="D1">
        <v>0.02</v>
      </c>
      <c r="E1" t="s">
        <v>97</v>
      </c>
      <c r="G1" s="11" t="s">
        <v>91</v>
      </c>
      <c r="J1" s="18">
        <f>P13+P23</f>
        <v>1870418.1811306032</v>
      </c>
      <c r="N1" s="11" t="s">
        <v>127</v>
      </c>
      <c r="P1" t="s">
        <v>131</v>
      </c>
      <c r="Q1">
        <f>AE7</f>
        <v>0.7268664384171224</v>
      </c>
      <c r="R1" s="11" t="s">
        <v>113</v>
      </c>
      <c r="S1">
        <f>AO7</f>
        <v>0.72433365137756445</v>
      </c>
    </row>
    <row r="2" spans="1:42" x14ac:dyDescent="0.2">
      <c r="A2" s="11" t="s">
        <v>98</v>
      </c>
      <c r="D2">
        <v>0.02</v>
      </c>
      <c r="E2" t="s">
        <v>97</v>
      </c>
      <c r="G2" s="11" t="s">
        <v>92</v>
      </c>
      <c r="J2" s="18">
        <f>O13+O23</f>
        <v>1870418.1811306032</v>
      </c>
      <c r="N2" s="11" t="s">
        <v>128</v>
      </c>
      <c r="P2" s="33" t="s">
        <v>131</v>
      </c>
      <c r="Q2">
        <f>AE17</f>
        <v>0.72617025206770769</v>
      </c>
      <c r="R2" t="s">
        <v>129</v>
      </c>
      <c r="S2">
        <f>AO17</f>
        <v>0.72589611768027518</v>
      </c>
      <c r="AH2" t="s">
        <v>126</v>
      </c>
    </row>
    <row r="3" spans="1:42" x14ac:dyDescent="0.2">
      <c r="G3" s="11" t="s">
        <v>86</v>
      </c>
      <c r="I3" t="s">
        <v>89</v>
      </c>
      <c r="J3" s="18">
        <f>Q13+Q23</f>
        <v>0</v>
      </c>
      <c r="N3" s="11"/>
      <c r="U3" s="30" t="s">
        <v>81</v>
      </c>
      <c r="X3" s="11" t="s">
        <v>106</v>
      </c>
      <c r="AH3" s="11" t="s">
        <v>112</v>
      </c>
    </row>
    <row r="4" spans="1:42" x14ac:dyDescent="0.2">
      <c r="G4" s="11"/>
      <c r="K4" s="18"/>
      <c r="L4" s="23" t="s">
        <v>95</v>
      </c>
      <c r="M4" s="20" t="s">
        <v>94</v>
      </c>
      <c r="U4" s="23" t="s">
        <v>96</v>
      </c>
      <c r="V4" s="20" t="s">
        <v>95</v>
      </c>
    </row>
    <row r="5" spans="1:42" x14ac:dyDescent="0.2">
      <c r="A5" s="11" t="s">
        <v>121</v>
      </c>
      <c r="B5" s="11"/>
      <c r="C5" s="11"/>
      <c r="D5" s="11"/>
      <c r="E5" s="11"/>
      <c r="F5" s="11"/>
      <c r="G5" s="11"/>
      <c r="H5" s="28" t="s">
        <v>110</v>
      </c>
      <c r="I5" s="31"/>
      <c r="L5" s="28" t="s">
        <v>110</v>
      </c>
      <c r="M5" s="28" t="s">
        <v>110</v>
      </c>
      <c r="S5" s="29" t="s">
        <v>110</v>
      </c>
      <c r="X5" s="28" t="s">
        <v>110</v>
      </c>
      <c r="AH5" s="28" t="s">
        <v>110</v>
      </c>
    </row>
    <row r="6" spans="1:42" ht="48" x14ac:dyDescent="0.2">
      <c r="A6" s="17" t="s">
        <v>25</v>
      </c>
      <c r="B6" s="17" t="s">
        <v>24</v>
      </c>
      <c r="C6" s="17" t="s">
        <v>19</v>
      </c>
      <c r="D6" s="17" t="s">
        <v>116</v>
      </c>
      <c r="E6" s="17"/>
      <c r="F6" s="17"/>
      <c r="G6" s="17" t="s">
        <v>125</v>
      </c>
      <c r="H6" s="17" t="s">
        <v>124</v>
      </c>
      <c r="J6" s="17" t="s">
        <v>114</v>
      </c>
      <c r="K6" s="17" t="s">
        <v>115</v>
      </c>
      <c r="L6" s="24" t="s">
        <v>81</v>
      </c>
      <c r="M6" s="21" t="s">
        <v>87</v>
      </c>
      <c r="N6" s="17" t="s">
        <v>83</v>
      </c>
      <c r="O6" s="17" t="s">
        <v>84</v>
      </c>
      <c r="P6" s="17" t="s">
        <v>85</v>
      </c>
      <c r="Q6" s="17" t="s">
        <v>86</v>
      </c>
      <c r="R6" s="8"/>
      <c r="S6" s="17" t="s">
        <v>111</v>
      </c>
      <c r="U6" s="24" t="s">
        <v>90</v>
      </c>
      <c r="V6" s="21" t="s">
        <v>87</v>
      </c>
      <c r="X6" s="17" t="s">
        <v>100</v>
      </c>
      <c r="Y6" s="17" t="s">
        <v>105</v>
      </c>
      <c r="Z6" s="17" t="s">
        <v>102</v>
      </c>
      <c r="AA6" s="17" t="s">
        <v>101</v>
      </c>
      <c r="AB6" s="17" t="s">
        <v>103</v>
      </c>
      <c r="AC6" s="17" t="s">
        <v>104</v>
      </c>
      <c r="AE6" s="17" t="s">
        <v>106</v>
      </c>
      <c r="AH6" s="17" t="s">
        <v>100</v>
      </c>
      <c r="AI6" s="17" t="s">
        <v>105</v>
      </c>
      <c r="AJ6" s="17" t="s">
        <v>102</v>
      </c>
      <c r="AK6" s="17" t="s">
        <v>101</v>
      </c>
      <c r="AL6" s="17" t="s">
        <v>103</v>
      </c>
      <c r="AM6" s="17" t="s">
        <v>104</v>
      </c>
      <c r="AO6" s="17" t="s">
        <v>106</v>
      </c>
    </row>
    <row r="7" spans="1:42" x14ac:dyDescent="0.2">
      <c r="A7" s="8" t="s">
        <v>117</v>
      </c>
      <c r="B7" s="8">
        <v>3001</v>
      </c>
      <c r="C7" s="8">
        <v>160.53818999999999</v>
      </c>
      <c r="D7" s="8">
        <f>C7*52</f>
        <v>8347.9858800000002</v>
      </c>
      <c r="E7" s="8"/>
      <c r="F7" s="8"/>
      <c r="G7">
        <v>160.53818960000001</v>
      </c>
      <c r="H7" s="8">
        <f>52*G7</f>
        <v>8347.9858592</v>
      </c>
      <c r="J7">
        <f>C7*52*B7</f>
        <v>25052305.625879999</v>
      </c>
      <c r="K7" s="18">
        <f>H7*B7</f>
        <v>25052305.563459199</v>
      </c>
      <c r="L7" s="23">
        <v>0</v>
      </c>
      <c r="M7" s="26">
        <v>0.5</v>
      </c>
      <c r="N7">
        <f>B7*(H7-L7-S7)</f>
        <v>25052305.563459199</v>
      </c>
      <c r="O7" s="18">
        <f t="shared" ref="O7:O10" si="0">N7*$D$2</f>
        <v>501046.11126918398</v>
      </c>
      <c r="P7" s="18">
        <f>J7*$D$1</f>
        <v>501046.11251760001</v>
      </c>
      <c r="Q7" s="18">
        <f t="shared" ref="Q7:Q10" si="1">O7-P7</f>
        <v>-1.2484160251915455E-3</v>
      </c>
      <c r="S7" s="32">
        <v>0</v>
      </c>
      <c r="U7" s="23">
        <v>5000</v>
      </c>
      <c r="V7" s="26">
        <f>U7/H7</f>
        <v>0.59894686985959478</v>
      </c>
      <c r="W7">
        <v>110.2376996</v>
      </c>
      <c r="X7">
        <v>110.2376996</v>
      </c>
      <c r="Y7">
        <f t="shared" ref="Y7:Y10" si="2">B7*X7</f>
        <v>330823.33649959997</v>
      </c>
      <c r="Z7">
        <f>Y7/$Y$13</f>
        <v>0.29600410229072932</v>
      </c>
      <c r="AA7">
        <f>Z7</f>
        <v>0.29600410229072932</v>
      </c>
      <c r="AB7">
        <f t="shared" ref="AB7:AB10" si="3">B7/$B$13</f>
        <v>0.2206293192177621</v>
      </c>
      <c r="AC7">
        <f>AB7</f>
        <v>0.2206293192177621</v>
      </c>
      <c r="AD7">
        <f>AA7*AC7</f>
        <v>6.5307183574068423E-2</v>
      </c>
      <c r="AE7" s="135">
        <f>1-AD13</f>
        <v>0.7268664384171224</v>
      </c>
      <c r="AF7">
        <f t="shared" ref="AF7:AF10" si="4">AA7*AC7</f>
        <v>6.5307183574068423E-2</v>
      </c>
      <c r="AH7">
        <f>P7/B7</f>
        <v>166.9597176</v>
      </c>
      <c r="AI7">
        <f>B7*AH7</f>
        <v>501046.11251760001</v>
      </c>
      <c r="AJ7">
        <f>AI7/$AI$13</f>
        <v>0.33760367506776967</v>
      </c>
      <c r="AK7">
        <f>AJ7</f>
        <v>0.33760367506776967</v>
      </c>
      <c r="AL7">
        <f>B7/$B$13</f>
        <v>0.2206293192177621</v>
      </c>
      <c r="AM7">
        <f>AL7</f>
        <v>0.2206293192177621</v>
      </c>
      <c r="AN7">
        <f>AK7*AM7</f>
        <v>7.4485268995616583E-2</v>
      </c>
      <c r="AO7" s="135">
        <f>1-AN13</f>
        <v>0.72433365137756445</v>
      </c>
      <c r="AP7">
        <f t="shared" ref="AP7:AP10" si="5">AK7*AM7</f>
        <v>7.4485268995616583E-2</v>
      </c>
    </row>
    <row r="8" spans="1:42" x14ac:dyDescent="0.2">
      <c r="A8" s="8" t="s">
        <v>119</v>
      </c>
      <c r="B8" s="8">
        <v>5053</v>
      </c>
      <c r="C8" s="8">
        <v>105.512298</v>
      </c>
      <c r="D8" s="8">
        <f t="shared" ref="D8:D10" si="6">C8*52</f>
        <v>5486.6394959999998</v>
      </c>
      <c r="E8" s="8"/>
      <c r="F8" s="8"/>
      <c r="G8">
        <v>105.51229840000001</v>
      </c>
      <c r="H8" s="8">
        <f>52*G8</f>
        <v>5486.6395167999999</v>
      </c>
      <c r="J8">
        <f t="shared" ref="J8:J10" si="7">C8*52*B8</f>
        <v>27723989.373287998</v>
      </c>
      <c r="K8" s="18">
        <f t="shared" ref="K8:K10" si="8">H8*B8</f>
        <v>27723989.478390399</v>
      </c>
      <c r="L8" s="23">
        <v>0</v>
      </c>
      <c r="M8" s="26">
        <v>0.4</v>
      </c>
      <c r="N8">
        <f t="shared" ref="N8:N10" si="9">B8*(H8-L8-S8)</f>
        <v>27723989.478390399</v>
      </c>
      <c r="O8" s="18">
        <f t="shared" si="0"/>
        <v>554479.78956780804</v>
      </c>
      <c r="P8" s="18">
        <f t="shared" ref="P8:P10" si="10">J8*$D$1</f>
        <v>554479.78746576002</v>
      </c>
      <c r="Q8" s="18">
        <f t="shared" si="1"/>
        <v>2.1020480198785663E-3</v>
      </c>
      <c r="S8" s="32">
        <v>0</v>
      </c>
      <c r="U8" s="23">
        <v>4000</v>
      </c>
      <c r="V8" s="26">
        <f t="shared" ref="V8:V10" si="11">U8/H8</f>
        <v>0.72904370475808844</v>
      </c>
      <c r="W8">
        <v>80.976028409999998</v>
      </c>
      <c r="X8">
        <v>80.976028409999998</v>
      </c>
      <c r="Y8">
        <f t="shared" si="2"/>
        <v>409171.87155573</v>
      </c>
      <c r="Z8">
        <f t="shared" ref="Z8:Z10" si="12">Y8/$Y$13</f>
        <v>0.3661064355495306</v>
      </c>
      <c r="AA8">
        <f>Z8+AA7</f>
        <v>0.66211053784025986</v>
      </c>
      <c r="AB8">
        <f t="shared" si="3"/>
        <v>0.37148948684017058</v>
      </c>
      <c r="AC8">
        <f>AB8+AC7</f>
        <v>0.59211880605793266</v>
      </c>
      <c r="AD8">
        <f>(AA8-AA7)*(AC8-AC7)</f>
        <v>0.13600469187117908</v>
      </c>
      <c r="AE8" s="136"/>
      <c r="AF8">
        <f t="shared" si="4"/>
        <v>0.39204810114435029</v>
      </c>
      <c r="AH8">
        <f t="shared" ref="AH8:AH10" si="13">P8/B8</f>
        <v>109.73278992</v>
      </c>
      <c r="AI8">
        <f t="shared" ref="AI8:AI10" si="14">B8*AH8</f>
        <v>554479.78746576002</v>
      </c>
      <c r="AJ8">
        <f t="shared" ref="AJ8:AJ10" si="15">AI8/$AI$13</f>
        <v>0.37360715774969899</v>
      </c>
      <c r="AK8">
        <f>AJ8+AK7</f>
        <v>0.71121083281746866</v>
      </c>
      <c r="AL8">
        <f t="shared" ref="AL8:AL10" si="16">B8/$B$13</f>
        <v>0.37148948684017058</v>
      </c>
      <c r="AM8">
        <f>AL8+AM7</f>
        <v>0.59211880605793266</v>
      </c>
      <c r="AN8">
        <f>(AK8-AK7)*(AM8-AM7)</f>
        <v>0.13879113131225035</v>
      </c>
      <c r="AO8" s="136"/>
      <c r="AP8">
        <f t="shared" si="5"/>
        <v>0.4211213091833475</v>
      </c>
    </row>
    <row r="9" spans="1:42" x14ac:dyDescent="0.2">
      <c r="A9" s="8" t="s">
        <v>120</v>
      </c>
      <c r="B9" s="8">
        <v>3458</v>
      </c>
      <c r="C9" s="8">
        <v>73.925838999999996</v>
      </c>
      <c r="D9" s="8">
        <f t="shared" si="6"/>
        <v>3844.1436279999998</v>
      </c>
      <c r="E9" s="8"/>
      <c r="F9" s="8"/>
      <c r="G9">
        <v>73.925839210000007</v>
      </c>
      <c r="H9" s="8">
        <f>52*G9</f>
        <v>3844.1436389200003</v>
      </c>
      <c r="J9">
        <f t="shared" si="7"/>
        <v>13293048.665624</v>
      </c>
      <c r="K9" s="18">
        <f t="shared" si="8"/>
        <v>13293048.703385361</v>
      </c>
      <c r="L9" s="23">
        <v>0</v>
      </c>
      <c r="M9" s="26">
        <v>0.3</v>
      </c>
      <c r="N9">
        <f t="shared" si="9"/>
        <v>13293048.703385361</v>
      </c>
      <c r="O9" s="18">
        <f t="shared" si="0"/>
        <v>265860.9740677072</v>
      </c>
      <c r="P9" s="18">
        <f t="shared" si="10"/>
        <v>265860.97331248003</v>
      </c>
      <c r="Q9" s="18">
        <f t="shared" si="1"/>
        <v>7.5522717088460922E-4</v>
      </c>
      <c r="S9" s="32">
        <v>0</v>
      </c>
      <c r="U9" s="23">
        <v>3000</v>
      </c>
      <c r="V9" s="26">
        <f t="shared" si="11"/>
        <v>0.78040788320876586</v>
      </c>
      <c r="W9">
        <v>63.9621511</v>
      </c>
      <c r="X9">
        <v>63.9621511</v>
      </c>
      <c r="Y9">
        <f t="shared" si="2"/>
        <v>221181.11850380001</v>
      </c>
      <c r="Z9">
        <f t="shared" si="12"/>
        <v>0.19790175360393875</v>
      </c>
      <c r="AA9">
        <f t="shared" ref="AA9:AA10" si="17">Z9+AA8</f>
        <v>0.86001229144419855</v>
      </c>
      <c r="AB9">
        <f t="shared" si="3"/>
        <v>0.25422731951183647</v>
      </c>
      <c r="AC9">
        <f t="shared" ref="AC9:AC10" si="18">AB9+AC8</f>
        <v>0.84634612556976907</v>
      </c>
      <c r="AD9">
        <f t="shared" ref="AD9:AD10" si="19">(AA9-AA8)*(AC9-AC8)</f>
        <v>5.0312032345421247E-2</v>
      </c>
      <c r="AE9" s="136"/>
      <c r="AF9">
        <f t="shared" si="4"/>
        <v>0.72786807080617655</v>
      </c>
      <c r="AH9">
        <f t="shared" si="13"/>
        <v>76.88287256000001</v>
      </c>
      <c r="AI9">
        <f t="shared" si="14"/>
        <v>265860.97331248003</v>
      </c>
      <c r="AJ9">
        <f t="shared" si="15"/>
        <v>0.17913648944683647</v>
      </c>
      <c r="AK9">
        <f t="shared" ref="AK9:AK10" si="20">AJ9+AK8</f>
        <v>0.89034732226430513</v>
      </c>
      <c r="AL9">
        <f t="shared" si="16"/>
        <v>0.25422731951183647</v>
      </c>
      <c r="AM9">
        <f t="shared" ref="AM9:AM10" si="21">AL9+AM8</f>
        <v>0.84634612556976907</v>
      </c>
      <c r="AN9">
        <f t="shared" ref="AN9:AN10" si="22">(AK9-AK8)*(AM9-AM8)</f>
        <v>4.5541389538829607E-2</v>
      </c>
      <c r="AO9" s="136"/>
      <c r="AP9">
        <f t="shared" si="5"/>
        <v>0.75354200660981319</v>
      </c>
    </row>
    <row r="10" spans="1:42" x14ac:dyDescent="0.2">
      <c r="A10" s="8" t="s">
        <v>118</v>
      </c>
      <c r="B10" s="8">
        <v>2090</v>
      </c>
      <c r="C10" s="8">
        <v>74.870399000000006</v>
      </c>
      <c r="D10" s="8">
        <f t="shared" si="6"/>
        <v>3893.2607480000001</v>
      </c>
      <c r="E10" s="8"/>
      <c r="F10" s="8"/>
      <c r="G10">
        <v>74.903306139999998</v>
      </c>
      <c r="H10" s="8">
        <f>52*G10</f>
        <v>3894.9719192799998</v>
      </c>
      <c r="J10">
        <f t="shared" si="7"/>
        <v>8136914.9633200001</v>
      </c>
      <c r="K10" s="18">
        <f t="shared" si="8"/>
        <v>8140491.3112951992</v>
      </c>
      <c r="L10" s="23">
        <v>0</v>
      </c>
      <c r="M10" s="26">
        <v>0.2</v>
      </c>
      <c r="N10">
        <f t="shared" si="9"/>
        <v>8140491.3112951992</v>
      </c>
      <c r="O10" s="18">
        <f t="shared" si="0"/>
        <v>162809.82622590399</v>
      </c>
      <c r="P10" s="18">
        <f t="shared" si="10"/>
        <v>162738.29926640002</v>
      </c>
      <c r="Q10" s="18">
        <f t="shared" si="1"/>
        <v>71.526959503971739</v>
      </c>
      <c r="S10" s="32">
        <v>0</v>
      </c>
      <c r="U10" s="23">
        <v>2000</v>
      </c>
      <c r="V10" s="26">
        <f t="shared" si="11"/>
        <v>0.5134825209137085</v>
      </c>
      <c r="W10">
        <v>74.858656069999995</v>
      </c>
      <c r="X10">
        <v>74.858656069999995</v>
      </c>
      <c r="Y10">
        <f t="shared" si="2"/>
        <v>156454.59118629998</v>
      </c>
      <c r="Z10">
        <f t="shared" si="12"/>
        <v>0.13998770855580128</v>
      </c>
      <c r="AA10">
        <f t="shared" si="17"/>
        <v>0.99999999999999978</v>
      </c>
      <c r="AB10">
        <f t="shared" si="3"/>
        <v>0.15365387443023085</v>
      </c>
      <c r="AC10">
        <f t="shared" si="18"/>
        <v>0.99999999999999989</v>
      </c>
      <c r="AD10">
        <f t="shared" si="19"/>
        <v>2.150965379220883E-2</v>
      </c>
      <c r="AE10" s="136"/>
      <c r="AF10">
        <f t="shared" si="4"/>
        <v>0.99999999999999967</v>
      </c>
      <c r="AH10">
        <f t="shared" si="13"/>
        <v>77.865214960000003</v>
      </c>
      <c r="AI10">
        <f t="shared" si="14"/>
        <v>162738.29926640002</v>
      </c>
      <c r="AJ10">
        <f t="shared" si="15"/>
        <v>0.10965267773569499</v>
      </c>
      <c r="AK10">
        <f t="shared" si="20"/>
        <v>1.0000000000000002</v>
      </c>
      <c r="AL10">
        <f t="shared" si="16"/>
        <v>0.15365387443023085</v>
      </c>
      <c r="AM10">
        <f t="shared" si="21"/>
        <v>0.99999999999999989</v>
      </c>
      <c r="AN10">
        <f t="shared" si="22"/>
        <v>1.6848558775739059E-2</v>
      </c>
      <c r="AO10" s="136"/>
      <c r="AP10">
        <f t="shared" si="5"/>
        <v>1</v>
      </c>
    </row>
    <row r="11" spans="1:42" x14ac:dyDescent="0.2">
      <c r="A11" s="8"/>
      <c r="B11" s="8"/>
      <c r="C11" s="8"/>
      <c r="D11" s="8"/>
      <c r="E11" s="8"/>
      <c r="F11" s="8"/>
      <c r="G11" s="8"/>
      <c r="H11" s="8"/>
      <c r="K11" s="18"/>
      <c r="M11" s="26"/>
      <c r="O11" s="18"/>
      <c r="P11" s="18"/>
      <c r="Q11" s="18"/>
      <c r="V11" s="26"/>
      <c r="AE11" s="136"/>
      <c r="AO11" s="136"/>
    </row>
    <row r="12" spans="1:42" x14ac:dyDescent="0.2">
      <c r="A12" s="8"/>
      <c r="B12" s="8"/>
      <c r="C12" s="8"/>
      <c r="D12" s="8"/>
      <c r="E12" s="8"/>
      <c r="F12" s="8"/>
      <c r="G12" s="8"/>
      <c r="H12" s="8"/>
      <c r="K12" s="18"/>
      <c r="M12" s="26"/>
      <c r="O12" s="18"/>
      <c r="P12" s="18"/>
      <c r="Q12" s="18"/>
      <c r="V12" s="26"/>
      <c r="AE12" s="136"/>
      <c r="AO12" s="136"/>
    </row>
    <row r="13" spans="1:42" s="16" customFormat="1" x14ac:dyDescent="0.2">
      <c r="A13" s="16" t="s">
        <v>99</v>
      </c>
      <c r="B13" s="16">
        <f>SUM(B7:B12)</f>
        <v>13602</v>
      </c>
      <c r="G13">
        <f>SUM(G7:G10)/4</f>
        <v>103.7199083375</v>
      </c>
      <c r="H13" s="16">
        <f>SUM(H7:H12)</f>
        <v>21573.740934199999</v>
      </c>
      <c r="J13" s="19">
        <f>SUM(J7:J12)</f>
        <v>74206258.628111988</v>
      </c>
      <c r="K13" s="19">
        <f>SUM(K7:K12)</f>
        <v>74209835.056530163</v>
      </c>
      <c r="L13" s="25">
        <f>SUM(L7:L12)</f>
        <v>0</v>
      </c>
      <c r="M13" s="22"/>
      <c r="N13" s="16">
        <f>SUM(N7:N12)</f>
        <v>74209835.056530163</v>
      </c>
      <c r="O13" s="19">
        <f>N13*$D$2</f>
        <v>1484196.7011306032</v>
      </c>
      <c r="P13" s="19">
        <f>K13*$D$1</f>
        <v>1484196.7011306032</v>
      </c>
      <c r="Q13" s="19">
        <f>O13-P13</f>
        <v>0</v>
      </c>
      <c r="U13" s="25">
        <f>SUM(U7:U12)</f>
        <v>14000</v>
      </c>
      <c r="V13" s="22"/>
      <c r="Y13" s="16">
        <f>SUM(Y7:Y12)</f>
        <v>1117630.91774543</v>
      </c>
      <c r="AD13" s="16">
        <f>SUM(AD7:AD12)</f>
        <v>0.27313356158287755</v>
      </c>
      <c r="AE13" s="136"/>
      <c r="AI13" s="16">
        <f>SUM(AI7:AI12)</f>
        <v>1484125.1725622399</v>
      </c>
      <c r="AN13" s="16">
        <f>SUM(AN7:AN12)</f>
        <v>0.27566634862243561</v>
      </c>
      <c r="AO13" s="136"/>
    </row>
    <row r="14" spans="1:42" x14ac:dyDescent="0.2">
      <c r="K14" s="18"/>
    </row>
    <row r="15" spans="1:42" x14ac:dyDescent="0.2">
      <c r="A15" s="11" t="s">
        <v>122</v>
      </c>
      <c r="B15" s="11"/>
      <c r="C15" s="11"/>
      <c r="D15" s="11"/>
      <c r="E15" s="11"/>
      <c r="F15" s="11"/>
      <c r="G15" s="11"/>
      <c r="H15" s="11"/>
      <c r="K15" s="18"/>
    </row>
    <row r="16" spans="1:42" ht="46" customHeight="1" x14ac:dyDescent="0.2">
      <c r="A16" s="17" t="s">
        <v>25</v>
      </c>
      <c r="B16" s="17" t="s">
        <v>24</v>
      </c>
      <c r="C16" s="17" t="s">
        <v>19</v>
      </c>
      <c r="D16" s="17" t="s">
        <v>116</v>
      </c>
      <c r="E16" s="17"/>
      <c r="F16" s="17"/>
      <c r="G16" s="17" t="s">
        <v>123</v>
      </c>
      <c r="H16" s="17" t="s">
        <v>21</v>
      </c>
      <c r="J16" s="17" t="s">
        <v>114</v>
      </c>
      <c r="K16" s="17" t="s">
        <v>82</v>
      </c>
      <c r="L16" s="24" t="s">
        <v>81</v>
      </c>
      <c r="M16" s="21" t="s">
        <v>87</v>
      </c>
      <c r="N16" s="17" t="s">
        <v>83</v>
      </c>
      <c r="O16" s="17" t="s">
        <v>84</v>
      </c>
      <c r="P16" s="17" t="s">
        <v>85</v>
      </c>
      <c r="Q16" s="17" t="s">
        <v>86</v>
      </c>
      <c r="R16" s="8"/>
      <c r="S16" s="17" t="s">
        <v>88</v>
      </c>
      <c r="U16" s="24" t="s">
        <v>90</v>
      </c>
      <c r="V16" s="21" t="s">
        <v>87</v>
      </c>
      <c r="X16" s="17" t="s">
        <v>100</v>
      </c>
      <c r="Y16" s="17" t="s">
        <v>105</v>
      </c>
      <c r="Z16" s="17" t="s">
        <v>102</v>
      </c>
      <c r="AA16" s="17" t="s">
        <v>101</v>
      </c>
      <c r="AB16" s="17" t="s">
        <v>103</v>
      </c>
      <c r="AC16" s="17" t="s">
        <v>104</v>
      </c>
      <c r="AE16" s="17" t="s">
        <v>106</v>
      </c>
      <c r="AH16" s="17" t="s">
        <v>100</v>
      </c>
      <c r="AI16" s="17" t="s">
        <v>105</v>
      </c>
      <c r="AJ16" s="17" t="s">
        <v>102</v>
      </c>
      <c r="AK16" s="17" t="s">
        <v>101</v>
      </c>
      <c r="AL16" s="17" t="s">
        <v>103</v>
      </c>
      <c r="AM16" s="17" t="s">
        <v>104</v>
      </c>
      <c r="AO16" s="17" t="s">
        <v>106</v>
      </c>
    </row>
    <row r="17" spans="1:42" x14ac:dyDescent="0.2">
      <c r="A17" s="8" t="s">
        <v>117</v>
      </c>
      <c r="B17" s="8">
        <v>286</v>
      </c>
      <c r="C17" s="8">
        <v>179.43699699999999</v>
      </c>
      <c r="D17" s="8">
        <f>C17*52</f>
        <v>9330.7238440000001</v>
      </c>
      <c r="E17" s="8"/>
      <c r="F17" s="8"/>
      <c r="G17">
        <v>179.43699649999999</v>
      </c>
      <c r="H17" s="8">
        <v>10564</v>
      </c>
      <c r="J17">
        <f>C17*52*B17</f>
        <v>2668587.019384</v>
      </c>
      <c r="K17" s="18">
        <f>H17*B17</f>
        <v>3021304</v>
      </c>
      <c r="L17" s="32">
        <v>0</v>
      </c>
      <c r="M17" s="26">
        <v>0.3</v>
      </c>
      <c r="N17">
        <f>B17*(H17-L17-S17)</f>
        <v>3021304</v>
      </c>
      <c r="O17" s="18">
        <f t="shared" ref="O17:O20" si="23">N17*$D$2</f>
        <v>60426.080000000002</v>
      </c>
      <c r="P17" s="18">
        <f>J17*$D$1</f>
        <v>53371.740387680002</v>
      </c>
      <c r="Q17" s="18">
        <f t="shared" ref="Q17:Q20" si="24">O17-P17</f>
        <v>7054.33961232</v>
      </c>
      <c r="S17" s="32">
        <v>0</v>
      </c>
      <c r="U17" s="23">
        <v>5000</v>
      </c>
      <c r="V17" s="26">
        <f>U17/H17</f>
        <v>0.47330556607345703</v>
      </c>
      <c r="W17">
        <v>177.238495</v>
      </c>
      <c r="X17">
        <v>177.238495</v>
      </c>
      <c r="Y17">
        <f t="shared" ref="Y17:Y20" si="25">B17*X17</f>
        <v>50690.209569999999</v>
      </c>
      <c r="Z17">
        <f t="shared" ref="Z17:Z20" si="26">Y17/$Y$23</f>
        <v>0.25831879555506648</v>
      </c>
      <c r="AA17">
        <f>Z17</f>
        <v>0.25831879555506648</v>
      </c>
      <c r="AB17">
        <f t="shared" ref="AB17:AB20" si="27">B17/$B$23</f>
        <v>0.18828176431863067</v>
      </c>
      <c r="AC17">
        <f>AB17</f>
        <v>0.18828176431863067</v>
      </c>
      <c r="AD17">
        <f>AA17*AC17</f>
        <v>4.8636718583771568E-2</v>
      </c>
      <c r="AE17" s="135">
        <f>1-AD23</f>
        <v>0.72617025206770769</v>
      </c>
      <c r="AF17">
        <f t="shared" ref="AF17:AF20" si="28">AA17*AC17</f>
        <v>4.8636718583771568E-2</v>
      </c>
      <c r="AH17">
        <f>P17/B17</f>
        <v>186.61447688000001</v>
      </c>
      <c r="AI17">
        <f>B17*AH17</f>
        <v>53371.740387680002</v>
      </c>
      <c r="AJ17">
        <f>AI17/$AI$23</f>
        <v>0.27432259732756048</v>
      </c>
      <c r="AK17">
        <f>AJ17</f>
        <v>0.27432259732756048</v>
      </c>
      <c r="AL17">
        <f>B17/$B$23</f>
        <v>0.18828176431863067</v>
      </c>
      <c r="AM17">
        <f>AL17</f>
        <v>0.18828176431863067</v>
      </c>
      <c r="AN17">
        <f>AK17*AM17</f>
        <v>5.1649942617302366E-2</v>
      </c>
      <c r="AO17" s="135">
        <f>1-AN23</f>
        <v>0.72589611768027518</v>
      </c>
      <c r="AP17">
        <f t="shared" ref="AP17:AP20" si="29">AK17*AM17</f>
        <v>5.1649942617302366E-2</v>
      </c>
    </row>
    <row r="18" spans="1:42" x14ac:dyDescent="0.2">
      <c r="A18" s="8" t="s">
        <v>119</v>
      </c>
      <c r="B18" s="8">
        <v>551</v>
      </c>
      <c r="C18" s="8">
        <v>131.273675</v>
      </c>
      <c r="D18" s="8">
        <f t="shared" ref="D18:D20" si="30">C18*52</f>
        <v>6826.2311</v>
      </c>
      <c r="E18" s="8"/>
      <c r="F18" s="8"/>
      <c r="G18">
        <v>131.29347189999999</v>
      </c>
      <c r="H18" s="8">
        <v>11651</v>
      </c>
      <c r="J18">
        <f t="shared" ref="J18:J20" si="31">C18*52*B18</f>
        <v>3761253.3361</v>
      </c>
      <c r="K18" s="18">
        <f t="shared" ref="K18:K20" si="32">H18*B18</f>
        <v>6419701</v>
      </c>
      <c r="L18" s="32">
        <v>0</v>
      </c>
      <c r="M18" s="26">
        <v>0.25</v>
      </c>
      <c r="N18">
        <f t="shared" ref="N18:N20" si="33">B18*(H18-L18-S18)</f>
        <v>6419701</v>
      </c>
      <c r="O18" s="18">
        <f t="shared" si="23"/>
        <v>128394.02</v>
      </c>
      <c r="P18" s="18">
        <f t="shared" ref="P18:P20" si="34">J18*$D$1</f>
        <v>75225.066722000003</v>
      </c>
      <c r="Q18" s="18">
        <f t="shared" si="24"/>
        <v>53168.953278000001</v>
      </c>
      <c r="S18" s="32">
        <v>0</v>
      </c>
      <c r="U18" s="23">
        <v>4000</v>
      </c>
      <c r="V18" s="26">
        <f t="shared" ref="V18:V20" si="35">U18/H18</f>
        <v>0.34331817011415328</v>
      </c>
      <c r="W18">
        <v>135.8148415</v>
      </c>
      <c r="X18">
        <v>135.8148415</v>
      </c>
      <c r="Y18">
        <f t="shared" si="25"/>
        <v>74833.977666499995</v>
      </c>
      <c r="Z18">
        <f t="shared" si="26"/>
        <v>0.38135614631283177</v>
      </c>
      <c r="AA18">
        <f>Z18+AA17</f>
        <v>0.63967494186789819</v>
      </c>
      <c r="AB18">
        <f t="shared" si="27"/>
        <v>0.36273864384463461</v>
      </c>
      <c r="AC18">
        <f>AB18+AC17</f>
        <v>0.55102040816326525</v>
      </c>
      <c r="AD18">
        <f>(AA18-AA17)*(AC18-AC17)</f>
        <v>0.13833261133533262</v>
      </c>
      <c r="AE18" s="136"/>
      <c r="AF18">
        <f t="shared" si="28"/>
        <v>0.35247394755986222</v>
      </c>
      <c r="AH18">
        <f t="shared" ref="AH18:AH20" si="36">P18/B18</f>
        <v>136.52462199999999</v>
      </c>
      <c r="AI18">
        <f t="shared" ref="AI18:AI20" si="37">B18*AH18</f>
        <v>75225.066722000003</v>
      </c>
      <c r="AJ18">
        <f t="shared" ref="AJ18:AJ20" si="38">AI18/$AI$23</f>
        <v>0.38664535833801567</v>
      </c>
      <c r="AK18">
        <f>AJ18+AK17</f>
        <v>0.66096795566557609</v>
      </c>
      <c r="AL18">
        <f t="shared" ref="AL18:AL20" si="39">B18/$B$23</f>
        <v>0.36273864384463461</v>
      </c>
      <c r="AM18">
        <f>AL18+AM17</f>
        <v>0.55102040816326525</v>
      </c>
      <c r="AN18">
        <f>(AK18-AK17)*(AM18-AM17)</f>
        <v>0.14025121293235457</v>
      </c>
      <c r="AO18" s="136"/>
      <c r="AP18">
        <f t="shared" si="29"/>
        <v>0.36420683271368476</v>
      </c>
    </row>
    <row r="19" spans="1:42" x14ac:dyDescent="0.2">
      <c r="A19" s="8" t="s">
        <v>120</v>
      </c>
      <c r="B19" s="8">
        <v>409</v>
      </c>
      <c r="C19" s="8">
        <v>108.666027</v>
      </c>
      <c r="D19" s="8">
        <f t="shared" si="30"/>
        <v>5650.6334040000002</v>
      </c>
      <c r="E19" s="8"/>
      <c r="F19" s="8"/>
      <c r="G19">
        <v>108.86513189999999</v>
      </c>
      <c r="H19" s="8">
        <v>13869</v>
      </c>
      <c r="J19">
        <f t="shared" si="31"/>
        <v>2311109.0622359999</v>
      </c>
      <c r="K19" s="18">
        <f t="shared" si="32"/>
        <v>5672421</v>
      </c>
      <c r="L19" s="32">
        <v>0</v>
      </c>
      <c r="M19" s="26">
        <v>0.2</v>
      </c>
      <c r="N19">
        <f t="shared" si="33"/>
        <v>5672421</v>
      </c>
      <c r="O19" s="18">
        <f t="shared" si="23"/>
        <v>113448.42</v>
      </c>
      <c r="P19" s="18">
        <f t="shared" si="34"/>
        <v>46222.181244719999</v>
      </c>
      <c r="Q19" s="18">
        <f t="shared" si="24"/>
        <v>67226.238755280006</v>
      </c>
      <c r="S19" s="32">
        <v>0</v>
      </c>
      <c r="U19" s="23">
        <v>3000</v>
      </c>
      <c r="V19" s="26">
        <f t="shared" si="35"/>
        <v>0.2163097555699762</v>
      </c>
      <c r="W19">
        <v>118.4366476</v>
      </c>
      <c r="X19">
        <v>118.4366476</v>
      </c>
      <c r="Y19">
        <f t="shared" si="25"/>
        <v>48440.588868400002</v>
      </c>
      <c r="Z19">
        <f t="shared" si="26"/>
        <v>0.24685466244094775</v>
      </c>
      <c r="AA19">
        <f t="shared" ref="AA19:AA20" si="40">Z19+AA18</f>
        <v>0.88652960430884598</v>
      </c>
      <c r="AB19">
        <f t="shared" si="27"/>
        <v>0.26925608953258723</v>
      </c>
      <c r="AC19">
        <f t="shared" ref="AC19:AC20" si="41">AB19+AC18</f>
        <v>0.82027649769585254</v>
      </c>
      <c r="AD19">
        <f t="shared" ref="AD19:AD20" si="42">(AA19-AA18)*(AC19-AC18)</f>
        <v>6.6467121091736442E-2</v>
      </c>
      <c r="AE19" s="136"/>
      <c r="AF19">
        <f t="shared" si="28"/>
        <v>0.72719939892615015</v>
      </c>
      <c r="AH19">
        <f t="shared" si="36"/>
        <v>113.01266808</v>
      </c>
      <c r="AI19">
        <f t="shared" si="37"/>
        <v>46222.181244719999</v>
      </c>
      <c r="AJ19">
        <f t="shared" si="38"/>
        <v>0.23757495485614266</v>
      </c>
      <c r="AK19">
        <f t="shared" ref="AK19:AK20" si="43">AJ19+AK18</f>
        <v>0.89854291052171875</v>
      </c>
      <c r="AL19">
        <f t="shared" si="39"/>
        <v>0.26925608953258723</v>
      </c>
      <c r="AM19">
        <f t="shared" ref="AM19:AM20" si="44">AL19+AM18</f>
        <v>0.82027649769585254</v>
      </c>
      <c r="AN19">
        <f t="shared" ref="AN19:AN20" si="45">(AK19-AK18)*(AM19-AM18)</f>
        <v>6.3968503315445929E-2</v>
      </c>
      <c r="AO19" s="136"/>
      <c r="AP19">
        <f t="shared" si="29"/>
        <v>0.73705363167219329</v>
      </c>
    </row>
    <row r="20" spans="1:42" x14ac:dyDescent="0.2">
      <c r="A20" s="8" t="s">
        <v>118</v>
      </c>
      <c r="B20" s="8">
        <v>273</v>
      </c>
      <c r="C20" s="8">
        <v>69.524231</v>
      </c>
      <c r="D20" s="8">
        <f t="shared" si="30"/>
        <v>3615.2600120000002</v>
      </c>
      <c r="E20" s="8"/>
      <c r="F20" s="8"/>
      <c r="G20">
        <v>69.865133049999997</v>
      </c>
      <c r="H20" s="8">
        <v>15376</v>
      </c>
      <c r="J20">
        <f t="shared" si="31"/>
        <v>986965.98327600001</v>
      </c>
      <c r="K20" s="18">
        <f t="shared" si="32"/>
        <v>4197648</v>
      </c>
      <c r="L20" s="32">
        <v>0</v>
      </c>
      <c r="M20" s="26">
        <v>0.15</v>
      </c>
      <c r="N20">
        <f t="shared" si="33"/>
        <v>4197648</v>
      </c>
      <c r="O20" s="18">
        <f t="shared" si="23"/>
        <v>83952.960000000006</v>
      </c>
      <c r="P20" s="18">
        <f t="shared" si="34"/>
        <v>19739.319665520001</v>
      </c>
      <c r="Q20" s="18">
        <f t="shared" si="24"/>
        <v>64213.640334480006</v>
      </c>
      <c r="S20" s="32">
        <v>0</v>
      </c>
      <c r="U20" s="23">
        <v>2000</v>
      </c>
      <c r="V20" s="26">
        <f t="shared" si="35"/>
        <v>0.13007284079084286</v>
      </c>
      <c r="W20">
        <v>81.562025410000004</v>
      </c>
      <c r="X20">
        <v>81.562025410000004</v>
      </c>
      <c r="Y20">
        <f t="shared" si="25"/>
        <v>22266.432936929999</v>
      </c>
      <c r="Z20">
        <f t="shared" si="26"/>
        <v>0.11347039569115396</v>
      </c>
      <c r="AA20">
        <f t="shared" si="40"/>
        <v>0.99999999999999989</v>
      </c>
      <c r="AB20">
        <f t="shared" si="27"/>
        <v>0.17972350230414746</v>
      </c>
      <c r="AC20">
        <f t="shared" si="41"/>
        <v>1</v>
      </c>
      <c r="AD20">
        <f t="shared" si="42"/>
        <v>2.0393296921451625E-2</v>
      </c>
      <c r="AE20" s="136"/>
      <c r="AF20">
        <f t="shared" si="28"/>
        <v>0.99999999999999989</v>
      </c>
      <c r="AH20">
        <f t="shared" si="36"/>
        <v>72.305200240000005</v>
      </c>
      <c r="AI20">
        <f t="shared" si="37"/>
        <v>19739.319665520001</v>
      </c>
      <c r="AJ20">
        <f t="shared" si="38"/>
        <v>0.1014570894782811</v>
      </c>
      <c r="AK20">
        <f t="shared" si="43"/>
        <v>0.99999999999999989</v>
      </c>
      <c r="AL20">
        <f t="shared" si="39"/>
        <v>0.17972350230414746</v>
      </c>
      <c r="AM20">
        <f t="shared" si="44"/>
        <v>1</v>
      </c>
      <c r="AN20">
        <f t="shared" si="45"/>
        <v>1.8234223454621955E-2</v>
      </c>
      <c r="AO20" s="136"/>
      <c r="AP20">
        <f t="shared" si="29"/>
        <v>0.99999999999999989</v>
      </c>
    </row>
    <row r="21" spans="1:42" x14ac:dyDescent="0.2">
      <c r="A21" s="8"/>
      <c r="B21" s="8"/>
      <c r="C21" s="8"/>
      <c r="D21" s="8"/>
      <c r="E21" s="8"/>
      <c r="F21" s="8"/>
      <c r="G21" s="8"/>
      <c r="H21" s="8"/>
      <c r="K21" s="18"/>
      <c r="M21" s="26"/>
      <c r="O21" s="18"/>
      <c r="P21" s="18"/>
      <c r="Q21" s="18"/>
      <c r="V21" s="26"/>
      <c r="AE21" s="136"/>
      <c r="AO21" s="136"/>
    </row>
    <row r="22" spans="1:42" x14ac:dyDescent="0.2">
      <c r="A22" s="8"/>
      <c r="B22" s="8"/>
      <c r="C22" s="8"/>
      <c r="D22" s="8"/>
      <c r="E22" s="8"/>
      <c r="F22" s="8"/>
      <c r="G22" s="8"/>
      <c r="H22" s="8"/>
      <c r="K22" s="18"/>
      <c r="M22" s="26"/>
      <c r="O22" s="18"/>
      <c r="P22" s="18"/>
      <c r="Q22" s="18"/>
      <c r="V22" s="26"/>
      <c r="AE22" s="136"/>
      <c r="AO22" s="136"/>
    </row>
    <row r="23" spans="1:42" s="16" customFormat="1" x14ac:dyDescent="0.2">
      <c r="B23" s="16">
        <f>SUM(B17:B22)</f>
        <v>1519</v>
      </c>
      <c r="G23">
        <f>SUM(G17:G20)/4</f>
        <v>122.36518333749999</v>
      </c>
      <c r="H23" s="16">
        <f>SUM(H17:H22)</f>
        <v>51460</v>
      </c>
      <c r="J23" s="19">
        <f>SUM(J17:J22)</f>
        <v>9727915.4009959996</v>
      </c>
      <c r="K23" s="19">
        <f>SUM(K17:K22)</f>
        <v>19311074</v>
      </c>
      <c r="L23" s="25">
        <f>SUM(L17:L22)</f>
        <v>0</v>
      </c>
      <c r="M23" s="22"/>
      <c r="N23" s="16">
        <f>SUM(N17:N22)</f>
        <v>19311074</v>
      </c>
      <c r="O23" s="19">
        <f>N23*$D$2</f>
        <v>386221.48</v>
      </c>
      <c r="P23" s="19">
        <f>K23*$D$1</f>
        <v>386221.48</v>
      </c>
      <c r="Q23" s="19">
        <f>O23-P23</f>
        <v>0</v>
      </c>
      <c r="U23" s="25">
        <f>SUM(U17:U22)</f>
        <v>14000</v>
      </c>
      <c r="V23" s="22"/>
      <c r="Y23" s="16">
        <f>SUM(Y17:Y22)</f>
        <v>196231.20904183001</v>
      </c>
      <c r="AD23" s="16">
        <f>SUM(AD17:AD22)</f>
        <v>0.27382974793229231</v>
      </c>
      <c r="AE23" s="136"/>
      <c r="AI23" s="16">
        <f>SUM(AI17:AI22)</f>
        <v>194558.30801992002</v>
      </c>
      <c r="AN23" s="16">
        <f>SUM(AN17:AN22)</f>
        <v>0.27410388231972477</v>
      </c>
      <c r="AO23" s="136"/>
    </row>
    <row r="24" spans="1:42" x14ac:dyDescent="0.2">
      <c r="K24" s="18"/>
    </row>
    <row r="25" spans="1:42" x14ac:dyDescent="0.2">
      <c r="U25" s="25"/>
    </row>
  </sheetData>
  <mergeCells count="4">
    <mergeCell ref="AE7:AE13"/>
    <mergeCell ref="AO7:AO13"/>
    <mergeCell ref="AE17:AE23"/>
    <mergeCell ref="AO17:AO23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="157" workbookViewId="0">
      <selection activeCell="D8" sqref="D8"/>
    </sheetView>
  </sheetViews>
  <sheetFormatPr baseColWidth="10" defaultColWidth="8.83203125" defaultRowHeight="15" x14ac:dyDescent="0.2"/>
  <cols>
    <col min="1" max="1" width="24.6640625" bestFit="1" customWidth="1"/>
    <col min="2" max="2" width="19.1640625" bestFit="1" customWidth="1"/>
    <col min="3" max="3" width="7.33203125" bestFit="1" customWidth="1"/>
    <col min="6" max="6" width="12" bestFit="1" customWidth="1"/>
    <col min="8" max="8" width="9" bestFit="1" customWidth="1"/>
    <col min="9" max="9" width="11.6640625" bestFit="1" customWidth="1"/>
    <col min="12" max="12" width="13.33203125" customWidth="1"/>
    <col min="13" max="13" width="18" bestFit="1" customWidth="1"/>
  </cols>
  <sheetData>
    <row r="1" spans="1:13" x14ac:dyDescent="0.2">
      <c r="A1" s="3" t="s">
        <v>6</v>
      </c>
      <c r="B1" s="3" t="s">
        <v>14</v>
      </c>
      <c r="C1" s="4" t="s">
        <v>7</v>
      </c>
      <c r="F1" s="11" t="s">
        <v>39</v>
      </c>
      <c r="G1" s="11" t="s">
        <v>43</v>
      </c>
      <c r="H1" s="11" t="s">
        <v>44</v>
      </c>
      <c r="K1" s="11" t="s">
        <v>67</v>
      </c>
      <c r="L1" s="11" t="s">
        <v>68</v>
      </c>
      <c r="M1" s="11" t="s">
        <v>27</v>
      </c>
    </row>
    <row r="2" spans="1:13" x14ac:dyDescent="0.2">
      <c r="A2" s="5" t="s">
        <v>8</v>
      </c>
      <c r="B2" s="6">
        <v>4315</v>
      </c>
      <c r="C2" s="7">
        <v>0.17</v>
      </c>
      <c r="F2" t="s">
        <v>0</v>
      </c>
      <c r="G2" s="2">
        <v>0.3</v>
      </c>
      <c r="H2" t="s">
        <v>45</v>
      </c>
      <c r="K2" s="11" t="s">
        <v>69</v>
      </c>
      <c r="L2" t="s">
        <v>70</v>
      </c>
      <c r="M2">
        <f>1036+1193+2086</f>
        <v>4315</v>
      </c>
    </row>
    <row r="3" spans="1:13" x14ac:dyDescent="0.2">
      <c r="A3" s="5" t="s">
        <v>9</v>
      </c>
      <c r="B3" s="6">
        <v>2216</v>
      </c>
      <c r="C3" s="7">
        <v>0.09</v>
      </c>
      <c r="F3" t="s">
        <v>1</v>
      </c>
      <c r="G3" s="2">
        <v>0.5</v>
      </c>
      <c r="H3" t="s">
        <v>46</v>
      </c>
      <c r="K3" s="11" t="s">
        <v>71</v>
      </c>
      <c r="L3" t="s">
        <v>72</v>
      </c>
      <c r="M3" s="1">
        <v>2216</v>
      </c>
    </row>
    <row r="4" spans="1:13" x14ac:dyDescent="0.2">
      <c r="A4" s="5" t="s">
        <v>10</v>
      </c>
      <c r="B4" s="6">
        <v>2729</v>
      </c>
      <c r="C4" s="7">
        <v>0.11</v>
      </c>
      <c r="F4" t="s">
        <v>2</v>
      </c>
      <c r="G4" s="2">
        <v>0.8</v>
      </c>
      <c r="H4" t="s">
        <v>47</v>
      </c>
      <c r="K4" s="11" t="s">
        <v>73</v>
      </c>
      <c r="L4" t="s">
        <v>74</v>
      </c>
      <c r="M4" s="1">
        <v>2729</v>
      </c>
    </row>
    <row r="5" spans="1:13" x14ac:dyDescent="0.2">
      <c r="A5" s="5" t="s">
        <v>11</v>
      </c>
      <c r="B5" s="6">
        <v>4135</v>
      </c>
      <c r="C5" s="7">
        <v>0.16</v>
      </c>
      <c r="F5" t="s">
        <v>3</v>
      </c>
      <c r="G5" t="s">
        <v>48</v>
      </c>
      <c r="H5" t="s">
        <v>49</v>
      </c>
      <c r="K5" s="11" t="s">
        <v>75</v>
      </c>
      <c r="L5" t="s">
        <v>76</v>
      </c>
      <c r="M5" s="1">
        <v>4135</v>
      </c>
    </row>
    <row r="6" spans="1:13" x14ac:dyDescent="0.2">
      <c r="A6" s="5" t="s">
        <v>12</v>
      </c>
      <c r="B6" s="6">
        <v>3406</v>
      </c>
      <c r="C6" s="7">
        <v>0.13</v>
      </c>
      <c r="F6" t="s">
        <v>4</v>
      </c>
      <c r="G6" t="s">
        <v>50</v>
      </c>
      <c r="H6" t="s">
        <v>51</v>
      </c>
      <c r="K6" s="11" t="s">
        <v>77</v>
      </c>
      <c r="L6" t="s">
        <v>78</v>
      </c>
      <c r="M6" s="1">
        <v>3406</v>
      </c>
    </row>
    <row r="7" spans="1:13" x14ac:dyDescent="0.2">
      <c r="A7" s="5" t="s">
        <v>13</v>
      </c>
      <c r="B7" s="6">
        <v>8508</v>
      </c>
      <c r="C7" s="7">
        <v>0.34</v>
      </c>
      <c r="F7" t="s">
        <v>5</v>
      </c>
      <c r="G7" t="s">
        <v>52</v>
      </c>
      <c r="H7" t="s">
        <v>53</v>
      </c>
      <c r="K7" s="11" t="s">
        <v>79</v>
      </c>
      <c r="L7" t="s">
        <v>80</v>
      </c>
      <c r="M7">
        <f>2812+1683+1844+2169</f>
        <v>8508</v>
      </c>
    </row>
    <row r="8" spans="1:13" x14ac:dyDescent="0.2">
      <c r="B8" s="14">
        <f>SUM(B2:B7)</f>
        <v>25309</v>
      </c>
      <c r="C8" s="15">
        <f>SUM(C2:C7)</f>
        <v>1</v>
      </c>
    </row>
    <row r="10" spans="1:13" x14ac:dyDescent="0.2">
      <c r="H10" s="10"/>
      <c r="I10" s="10"/>
    </row>
    <row r="11" spans="1:13" x14ac:dyDescent="0.2">
      <c r="A11" s="9" t="s">
        <v>42</v>
      </c>
      <c r="B11" s="12">
        <f>ROUND(I19,-2)</f>
        <v>70500</v>
      </c>
    </row>
    <row r="13" spans="1:13" x14ac:dyDescent="0.2">
      <c r="A13" s="11" t="s">
        <v>26</v>
      </c>
      <c r="B13" s="3" t="s">
        <v>14</v>
      </c>
      <c r="C13" s="11" t="s">
        <v>7</v>
      </c>
      <c r="D13" s="11" t="s">
        <v>39</v>
      </c>
      <c r="F13" s="11" t="s">
        <v>27</v>
      </c>
      <c r="K13" s="11" t="s">
        <v>54</v>
      </c>
      <c r="L13" s="11" t="s">
        <v>40</v>
      </c>
      <c r="M13" s="11" t="s">
        <v>66</v>
      </c>
    </row>
    <row r="14" spans="1:13" x14ac:dyDescent="0.2">
      <c r="A14" t="s">
        <v>38</v>
      </c>
      <c r="B14" s="1">
        <v>1036</v>
      </c>
      <c r="C14" s="2">
        <v>0.04</v>
      </c>
      <c r="D14">
        <v>1</v>
      </c>
      <c r="F14" s="1">
        <f>B14</f>
        <v>1036</v>
      </c>
      <c r="K14" t="s">
        <v>38</v>
      </c>
      <c r="L14" s="1">
        <v>5000</v>
      </c>
      <c r="M14" s="11" t="s">
        <v>0</v>
      </c>
    </row>
    <row r="15" spans="1:13" x14ac:dyDescent="0.2">
      <c r="A15" t="s">
        <v>37</v>
      </c>
      <c r="B15" s="1">
        <v>1193</v>
      </c>
      <c r="C15" s="2">
        <v>0.04</v>
      </c>
      <c r="D15">
        <v>2</v>
      </c>
      <c r="F15" s="1">
        <f>F14+B15</f>
        <v>2229</v>
      </c>
      <c r="K15" t="s">
        <v>55</v>
      </c>
      <c r="L15" s="1">
        <v>12500</v>
      </c>
      <c r="M15" s="11" t="s">
        <v>0</v>
      </c>
    </row>
    <row r="16" spans="1:13" x14ac:dyDescent="0.2">
      <c r="A16" t="s">
        <v>34</v>
      </c>
      <c r="B16" s="1">
        <v>2086</v>
      </c>
      <c r="C16" s="2">
        <v>0.08</v>
      </c>
      <c r="D16">
        <v>3</v>
      </c>
      <c r="F16" s="1">
        <f t="shared" ref="F16:F24" si="0">F15+B16</f>
        <v>4315</v>
      </c>
      <c r="K16" t="s">
        <v>56</v>
      </c>
      <c r="L16" s="1">
        <v>20000</v>
      </c>
      <c r="M16" s="11" t="s">
        <v>57</v>
      </c>
    </row>
    <row r="17" spans="1:13" x14ac:dyDescent="0.2">
      <c r="A17" t="s">
        <v>32</v>
      </c>
      <c r="B17" s="1">
        <v>2216</v>
      </c>
      <c r="C17" s="2">
        <v>0.09</v>
      </c>
      <c r="D17">
        <v>4</v>
      </c>
      <c r="F17" s="1">
        <f t="shared" si="0"/>
        <v>6531</v>
      </c>
      <c r="K17" t="s">
        <v>58</v>
      </c>
      <c r="L17" s="1">
        <v>30000</v>
      </c>
      <c r="M17" s="11" t="s">
        <v>1</v>
      </c>
    </row>
    <row r="18" spans="1:13" x14ac:dyDescent="0.2">
      <c r="A18" t="s">
        <v>31</v>
      </c>
      <c r="B18" s="1">
        <v>2729</v>
      </c>
      <c r="C18" s="2">
        <v>0.11</v>
      </c>
      <c r="D18">
        <v>5</v>
      </c>
      <c r="F18" s="1">
        <f t="shared" si="0"/>
        <v>9260</v>
      </c>
      <c r="I18" t="s">
        <v>41</v>
      </c>
      <c r="K18" t="s">
        <v>59</v>
      </c>
      <c r="L18" s="1">
        <v>42500</v>
      </c>
      <c r="M18" s="11" t="s">
        <v>60</v>
      </c>
    </row>
    <row r="19" spans="1:13" x14ac:dyDescent="0.2">
      <c r="A19" t="s">
        <v>28</v>
      </c>
      <c r="B19" s="1">
        <v>4135</v>
      </c>
      <c r="C19" s="2">
        <v>0.16</v>
      </c>
      <c r="D19">
        <v>6</v>
      </c>
      <c r="F19" s="1">
        <f t="shared" si="0"/>
        <v>13395</v>
      </c>
      <c r="G19" t="s">
        <v>40</v>
      </c>
      <c r="H19" s="10"/>
      <c r="I19" s="13">
        <f>50000+25000*((B26-F18)/B19)</f>
        <v>70522.974607013297</v>
      </c>
      <c r="K19" t="s">
        <v>61</v>
      </c>
      <c r="L19" s="1">
        <v>62500</v>
      </c>
      <c r="M19" s="11" t="s">
        <v>3</v>
      </c>
    </row>
    <row r="20" spans="1:13" x14ac:dyDescent="0.2">
      <c r="A20" t="s">
        <v>29</v>
      </c>
      <c r="B20" s="1">
        <v>3406</v>
      </c>
      <c r="C20" s="2">
        <v>0.13</v>
      </c>
      <c r="D20">
        <v>7</v>
      </c>
      <c r="F20" s="1">
        <f t="shared" si="0"/>
        <v>16801</v>
      </c>
      <c r="K20" t="s">
        <v>62</v>
      </c>
      <c r="L20" s="1">
        <v>87500</v>
      </c>
      <c r="M20" s="11" t="s">
        <v>4</v>
      </c>
    </row>
    <row r="21" spans="1:13" x14ac:dyDescent="0.2">
      <c r="A21" t="s">
        <v>30</v>
      </c>
      <c r="B21" s="1">
        <v>2812</v>
      </c>
      <c r="C21" s="2">
        <v>0.11</v>
      </c>
      <c r="D21">
        <v>8</v>
      </c>
      <c r="F21" s="1">
        <f t="shared" si="0"/>
        <v>19613</v>
      </c>
      <c r="K21" t="s">
        <v>63</v>
      </c>
      <c r="L21" s="1">
        <v>112500</v>
      </c>
      <c r="M21" s="11" t="s">
        <v>5</v>
      </c>
    </row>
    <row r="22" spans="1:13" x14ac:dyDescent="0.2">
      <c r="A22" t="s">
        <v>36</v>
      </c>
      <c r="B22" s="1">
        <v>1683</v>
      </c>
      <c r="C22" s="2">
        <v>7.0000000000000007E-2</v>
      </c>
      <c r="D22">
        <v>9</v>
      </c>
      <c r="F22" s="1">
        <f t="shared" si="0"/>
        <v>21296</v>
      </c>
      <c r="K22" t="s">
        <v>64</v>
      </c>
      <c r="L22" s="1">
        <v>137500</v>
      </c>
      <c r="M22" s="11" t="s">
        <v>5</v>
      </c>
    </row>
    <row r="23" spans="1:13" x14ac:dyDescent="0.2">
      <c r="A23" t="s">
        <v>35</v>
      </c>
      <c r="B23" s="1">
        <v>1844</v>
      </c>
      <c r="C23" s="2">
        <v>7.0000000000000007E-2</v>
      </c>
      <c r="D23">
        <v>10</v>
      </c>
      <c r="F23" s="1">
        <f t="shared" si="0"/>
        <v>23140</v>
      </c>
      <c r="K23" t="s">
        <v>65</v>
      </c>
      <c r="L23" s="1">
        <v>175000</v>
      </c>
      <c r="M23" s="11" t="s">
        <v>5</v>
      </c>
    </row>
    <row r="24" spans="1:13" x14ac:dyDescent="0.2">
      <c r="A24" t="s">
        <v>33</v>
      </c>
      <c r="B24" s="1">
        <v>2169</v>
      </c>
      <c r="C24" s="2">
        <v>0.09</v>
      </c>
      <c r="D24">
        <v>11</v>
      </c>
      <c r="F24" s="1">
        <f t="shared" si="0"/>
        <v>25309</v>
      </c>
      <c r="K24" t="s">
        <v>33</v>
      </c>
      <c r="L24" s="1">
        <v>225000</v>
      </c>
      <c r="M24" s="11" t="s">
        <v>5</v>
      </c>
    </row>
    <row r="25" spans="1:13" x14ac:dyDescent="0.2">
      <c r="B25" s="14">
        <f>SUM(B14:B24)</f>
        <v>25309</v>
      </c>
      <c r="C25" s="15">
        <f>SUM(C14:C24)</f>
        <v>0.9900000000000001</v>
      </c>
    </row>
    <row r="26" spans="1:13" x14ac:dyDescent="0.2">
      <c r="B26" s="16">
        <f>B25/2</f>
        <v>12654.5</v>
      </c>
    </row>
    <row r="28" spans="1:13" x14ac:dyDescent="0.2">
      <c r="H28" s="10"/>
      <c r="I28" s="10"/>
    </row>
  </sheetData>
  <sortState xmlns:xlrd2="http://schemas.microsoft.com/office/spreadsheetml/2017/richdata2" ref="A14:D24">
    <sortCondition ref="A13:A24"/>
  </sortState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F079-9285-6E49-B42A-0B9A14796A4F}">
  <dimension ref="A1:AP34"/>
  <sheetViews>
    <sheetView topLeftCell="S1" zoomScale="114" workbookViewId="0">
      <selection activeCell="O13" sqref="O13"/>
    </sheetView>
  </sheetViews>
  <sheetFormatPr baseColWidth="10" defaultRowHeight="15" x14ac:dyDescent="0.2"/>
  <cols>
    <col min="1" max="1" width="7.1640625" customWidth="1"/>
    <col min="2" max="3" width="9.83203125" bestFit="1" customWidth="1"/>
    <col min="4" max="4" width="8.6640625" bestFit="1" customWidth="1"/>
    <col min="5" max="6" width="6.1640625" bestFit="1" customWidth="1"/>
    <col min="7" max="7" width="7.1640625" bestFit="1" customWidth="1"/>
    <col min="8" max="8" width="7.83203125" bestFit="1" customWidth="1"/>
    <col min="9" max="9" width="9.6640625" customWidth="1"/>
    <col min="10" max="11" width="12.33203125" bestFit="1" customWidth="1"/>
    <col min="12" max="12" width="11.33203125" style="23" customWidth="1"/>
    <col min="13" max="13" width="11" style="20" bestFit="1" customWidth="1"/>
    <col min="14" max="17" width="11" bestFit="1" customWidth="1"/>
    <col min="19" max="19" width="11" bestFit="1" customWidth="1"/>
    <col min="21" max="21" width="11" style="23" bestFit="1" customWidth="1"/>
    <col min="22" max="22" width="11" style="20" bestFit="1" customWidth="1"/>
  </cols>
  <sheetData>
    <row r="1" spans="1:42" x14ac:dyDescent="0.2">
      <c r="A1" s="11" t="s">
        <v>93</v>
      </c>
      <c r="D1">
        <v>0.02</v>
      </c>
      <c r="E1" t="s">
        <v>97</v>
      </c>
      <c r="G1" s="11" t="s">
        <v>91</v>
      </c>
      <c r="J1" s="18">
        <f>P13+P23+P33</f>
        <v>10034441.239999998</v>
      </c>
      <c r="N1" s="11" t="s">
        <v>107</v>
      </c>
      <c r="Q1">
        <f>AE7</f>
        <v>0.77472308631501374</v>
      </c>
      <c r="R1" s="11" t="s">
        <v>113</v>
      </c>
      <c r="S1">
        <f>AO7</f>
        <v>0.78764917368491483</v>
      </c>
    </row>
    <row r="2" spans="1:42" x14ac:dyDescent="0.2">
      <c r="A2" s="11" t="s">
        <v>98</v>
      </c>
      <c r="D2">
        <v>2.5000000000000001E-2</v>
      </c>
      <c r="E2" t="s">
        <v>97</v>
      </c>
      <c r="G2" s="11" t="s">
        <v>92</v>
      </c>
      <c r="J2" s="18">
        <f>O13+O23+O33</f>
        <v>10628459.727500003</v>
      </c>
      <c r="N2" s="11" t="s">
        <v>108</v>
      </c>
      <c r="Q2">
        <f>AE17</f>
        <v>0.77783549044667</v>
      </c>
      <c r="S2">
        <f>AO17</f>
        <v>0.78229258970456439</v>
      </c>
    </row>
    <row r="3" spans="1:42" x14ac:dyDescent="0.2">
      <c r="G3" s="11" t="s">
        <v>86</v>
      </c>
      <c r="I3" t="s">
        <v>89</v>
      </c>
      <c r="J3" s="18">
        <f>Q13+Q23+Q33</f>
        <v>594018.48750000168</v>
      </c>
      <c r="N3" s="11" t="s">
        <v>109</v>
      </c>
      <c r="Q3">
        <f>AE27</f>
        <v>0.76719069335274692</v>
      </c>
      <c r="S3">
        <f>AO27</f>
        <v>0.76950544980774382</v>
      </c>
      <c r="U3" s="30" t="s">
        <v>81</v>
      </c>
      <c r="X3" s="11" t="s">
        <v>106</v>
      </c>
      <c r="AH3" s="11" t="s">
        <v>112</v>
      </c>
    </row>
    <row r="4" spans="1:42" x14ac:dyDescent="0.2">
      <c r="G4" s="11"/>
      <c r="K4" s="18"/>
      <c r="L4" s="23" t="s">
        <v>95</v>
      </c>
      <c r="M4" s="20" t="s">
        <v>94</v>
      </c>
      <c r="U4" s="23" t="s">
        <v>96</v>
      </c>
      <c r="V4" s="20" t="s">
        <v>95</v>
      </c>
    </row>
    <row r="5" spans="1:42" x14ac:dyDescent="0.2">
      <c r="A5" s="11" t="s">
        <v>15</v>
      </c>
      <c r="B5" s="11"/>
      <c r="C5" s="11"/>
      <c r="D5" s="11"/>
      <c r="E5" s="11"/>
      <c r="F5" s="11"/>
      <c r="G5" s="11"/>
      <c r="H5" s="28" t="s">
        <v>110</v>
      </c>
      <c r="I5" s="31"/>
      <c r="L5" s="28" t="s">
        <v>110</v>
      </c>
      <c r="M5" s="28" t="s">
        <v>110</v>
      </c>
      <c r="S5" s="29" t="s">
        <v>110</v>
      </c>
      <c r="X5" s="28" t="s">
        <v>110</v>
      </c>
      <c r="AH5" s="28" t="s">
        <v>110</v>
      </c>
    </row>
    <row r="6" spans="1:42" ht="46" customHeight="1" x14ac:dyDescent="0.2">
      <c r="A6" s="17" t="s">
        <v>25</v>
      </c>
      <c r="B6" s="17" t="s">
        <v>24</v>
      </c>
      <c r="C6" s="17" t="s">
        <v>19</v>
      </c>
      <c r="D6" s="17" t="s">
        <v>18</v>
      </c>
      <c r="E6" s="17" t="s">
        <v>23</v>
      </c>
      <c r="F6" s="17" t="s">
        <v>22</v>
      </c>
      <c r="G6" s="17" t="s">
        <v>20</v>
      </c>
      <c r="H6" s="17" t="s">
        <v>116</v>
      </c>
      <c r="I6" s="27"/>
      <c r="J6" s="17" t="s">
        <v>114</v>
      </c>
      <c r="K6" s="17" t="s">
        <v>115</v>
      </c>
      <c r="L6" s="24" t="s">
        <v>81</v>
      </c>
      <c r="M6" s="21" t="s">
        <v>87</v>
      </c>
      <c r="N6" s="17" t="s">
        <v>83</v>
      </c>
      <c r="O6" s="17" t="s">
        <v>84</v>
      </c>
      <c r="P6" s="17" t="s">
        <v>85</v>
      </c>
      <c r="Q6" s="17" t="s">
        <v>86</v>
      </c>
      <c r="R6" s="8"/>
      <c r="S6" s="17" t="s">
        <v>111</v>
      </c>
      <c r="U6" s="24" t="s">
        <v>90</v>
      </c>
      <c r="V6" s="21" t="s">
        <v>87</v>
      </c>
      <c r="X6" s="17" t="s">
        <v>100</v>
      </c>
      <c r="Y6" s="17" t="s">
        <v>105</v>
      </c>
      <c r="Z6" s="17" t="s">
        <v>102</v>
      </c>
      <c r="AA6" s="17" t="s">
        <v>101</v>
      </c>
      <c r="AB6" s="17" t="s">
        <v>103</v>
      </c>
      <c r="AC6" s="17" t="s">
        <v>104</v>
      </c>
      <c r="AE6" s="17" t="s">
        <v>106</v>
      </c>
      <c r="AH6" s="17" t="s">
        <v>100</v>
      </c>
      <c r="AI6" s="17" t="s">
        <v>105</v>
      </c>
      <c r="AJ6" s="17" t="s">
        <v>102</v>
      </c>
      <c r="AK6" s="17" t="s">
        <v>101</v>
      </c>
      <c r="AL6" s="17" t="s">
        <v>103</v>
      </c>
      <c r="AM6" s="17" t="s">
        <v>104</v>
      </c>
      <c r="AO6" s="17" t="s">
        <v>106</v>
      </c>
    </row>
    <row r="7" spans="1:42" x14ac:dyDescent="0.2">
      <c r="A7" s="8" t="s">
        <v>0</v>
      </c>
      <c r="B7" s="8">
        <v>571</v>
      </c>
      <c r="C7" s="8">
        <v>30.1</v>
      </c>
      <c r="D7" s="8">
        <v>41.8</v>
      </c>
      <c r="E7" s="8">
        <v>33.9</v>
      </c>
      <c r="F7" s="8">
        <v>32.5</v>
      </c>
      <c r="G7" s="8">
        <v>31.6</v>
      </c>
      <c r="H7" s="8">
        <v>14240</v>
      </c>
      <c r="J7">
        <f>C7*365*B7</f>
        <v>6273291.5</v>
      </c>
      <c r="K7" s="18">
        <f>H7*B7</f>
        <v>8131040</v>
      </c>
      <c r="L7" s="23">
        <f>M7*H7</f>
        <v>7120</v>
      </c>
      <c r="M7" s="26">
        <v>0.5</v>
      </c>
      <c r="N7">
        <f>B7*(H7-L7-S7)</f>
        <v>2352520</v>
      </c>
      <c r="O7" s="18">
        <f t="shared" ref="O7:O12" si="0">N7*$D$2</f>
        <v>58813</v>
      </c>
      <c r="P7" s="18">
        <f>J7*$D$1</f>
        <v>125465.83</v>
      </c>
      <c r="Q7" s="18">
        <f t="shared" ref="Q7:Q12" si="1">O7-P7</f>
        <v>-66652.83</v>
      </c>
      <c r="S7">
        <v>3000</v>
      </c>
      <c r="U7" s="23">
        <v>5000</v>
      </c>
      <c r="V7" s="26">
        <f>U7/H7</f>
        <v>0.351123595505618</v>
      </c>
      <c r="X7">
        <f t="shared" ref="X7:X12" si="2">O7/B7</f>
        <v>103</v>
      </c>
      <c r="Y7">
        <f t="shared" ref="Y7:Y12" si="3">B7*X7</f>
        <v>58813</v>
      </c>
      <c r="Z7">
        <f>Y7/$Y$13</f>
        <v>2.3349042379251336E-2</v>
      </c>
      <c r="AA7">
        <f>Z7</f>
        <v>2.3349042379251336E-2</v>
      </c>
      <c r="AB7">
        <f t="shared" ref="AB7:AB12" si="4">B7/$B$13</f>
        <v>7.8466400989418719E-2</v>
      </c>
      <c r="AC7">
        <f>AB7</f>
        <v>7.8466400989418719E-2</v>
      </c>
      <c r="AD7">
        <f>AA7*AC7</f>
        <v>1.8321153220492666E-3</v>
      </c>
      <c r="AE7" s="135">
        <f>1-AD13</f>
        <v>0.77472308631501374</v>
      </c>
      <c r="AF7">
        <f t="shared" ref="AF7:AF12" si="5">AA7*AC7</f>
        <v>1.8321153220492666E-3</v>
      </c>
      <c r="AH7">
        <f>P7/B7</f>
        <v>219.73</v>
      </c>
      <c r="AI7">
        <f>B7*AH7</f>
        <v>125465.82999999999</v>
      </c>
      <c r="AJ7">
        <f>AI7/$AI$13</f>
        <v>5.4480276967532631E-2</v>
      </c>
      <c r="AK7">
        <f>AJ7</f>
        <v>5.4480276967532631E-2</v>
      </c>
      <c r="AL7">
        <f>B7/$B$13</f>
        <v>7.8466400989418719E-2</v>
      </c>
      <c r="AM7">
        <f>AL7</f>
        <v>7.8466400989418719E-2</v>
      </c>
      <c r="AN7">
        <f>AK7*AM7</f>
        <v>4.2748712585490081E-3</v>
      </c>
      <c r="AO7" s="135">
        <f>1-AN13</f>
        <v>0.78764917368491483</v>
      </c>
      <c r="AP7">
        <f t="shared" ref="AP7:AP12" si="6">AK7*AM7</f>
        <v>4.2748712585490081E-3</v>
      </c>
    </row>
    <row r="8" spans="1:42" x14ac:dyDescent="0.2">
      <c r="A8" s="8" t="s">
        <v>1</v>
      </c>
      <c r="B8" s="8">
        <v>1024</v>
      </c>
      <c r="C8" s="8">
        <v>27.8</v>
      </c>
      <c r="D8" s="8">
        <v>44.5</v>
      </c>
      <c r="E8" s="8">
        <v>38.4</v>
      </c>
      <c r="F8" s="8">
        <v>35.200000000000003</v>
      </c>
      <c r="G8" s="8">
        <v>35.4</v>
      </c>
      <c r="H8" s="8">
        <v>15328</v>
      </c>
      <c r="J8">
        <f t="shared" ref="J8:J12" si="7">C8*365*B8</f>
        <v>10390528</v>
      </c>
      <c r="K8" s="18">
        <f t="shared" ref="K8:K12" si="8">H8*B8</f>
        <v>15695872</v>
      </c>
      <c r="L8" s="23">
        <f t="shared" ref="L8:L12" si="9">M8*H8</f>
        <v>6131.2000000000007</v>
      </c>
      <c r="M8" s="26">
        <v>0.4</v>
      </c>
      <c r="N8">
        <f t="shared" ref="N8:N12" si="10">B8*(H8-L8-S8)</f>
        <v>6857523.1999999993</v>
      </c>
      <c r="O8" s="18">
        <f t="shared" si="0"/>
        <v>171438.07999999999</v>
      </c>
      <c r="P8" s="18">
        <f t="shared" ref="P8:P12" si="11">J8*$D$1</f>
        <v>207810.56</v>
      </c>
      <c r="Q8" s="18">
        <f t="shared" si="1"/>
        <v>-36372.48000000001</v>
      </c>
      <c r="S8">
        <v>2500</v>
      </c>
      <c r="U8" s="23">
        <v>4000</v>
      </c>
      <c r="V8" s="26">
        <f t="shared" ref="V8:V12" si="12">U8/H8</f>
        <v>0.26096033402922758</v>
      </c>
      <c r="X8">
        <f t="shared" si="2"/>
        <v>167.42</v>
      </c>
      <c r="Y8">
        <f t="shared" si="3"/>
        <v>171438.07999999999</v>
      </c>
      <c r="Z8">
        <f t="shared" ref="Z8:Z12" si="13">Y8/$Y$13</f>
        <v>6.8061737971834124E-2</v>
      </c>
      <c r="AA8">
        <f>Z8+AA7</f>
        <v>9.1410780351085463E-2</v>
      </c>
      <c r="AB8">
        <f t="shared" si="4"/>
        <v>0.14071732856946545</v>
      </c>
      <c r="AC8">
        <f>AB8+AC7</f>
        <v>0.21918372955888415</v>
      </c>
      <c r="AD8">
        <f>(AA8-AA7)*(AC8-AC7)</f>
        <v>9.5774659451914462E-3</v>
      </c>
      <c r="AE8" s="136"/>
      <c r="AF8">
        <f t="shared" si="5"/>
        <v>2.0035755759238879E-2</v>
      </c>
      <c r="AH8">
        <f t="shared" ref="AH8:AH11" si="14">P8/B8</f>
        <v>202.94</v>
      </c>
      <c r="AI8">
        <f t="shared" ref="AI8:AI12" si="15">B8*AH8</f>
        <v>207810.56</v>
      </c>
      <c r="AJ8">
        <f t="shared" ref="AJ8:AJ12" si="16">AI8/$AI$13</f>
        <v>9.023633658325983E-2</v>
      </c>
      <c r="AK8">
        <f>AJ8+AK7</f>
        <v>0.14471661355079246</v>
      </c>
      <c r="AL8">
        <f t="shared" ref="AL8:AL12" si="17">B8/$B$13</f>
        <v>0.14071732856946545</v>
      </c>
      <c r="AM8">
        <f>AL8+AM7</f>
        <v>0.21918372955888415</v>
      </c>
      <c r="AN8">
        <f>(AK8-AK7)*(AM8-AM7)</f>
        <v>1.2697816223891449E-2</v>
      </c>
      <c r="AO8" s="136"/>
      <c r="AP8">
        <f t="shared" si="6"/>
        <v>3.1719527087194443E-2</v>
      </c>
    </row>
    <row r="9" spans="1:42" x14ac:dyDescent="0.2">
      <c r="A9" s="8" t="s">
        <v>2</v>
      </c>
      <c r="B9" s="8">
        <v>1061</v>
      </c>
      <c r="C9" s="8">
        <v>37.9</v>
      </c>
      <c r="D9" s="8">
        <v>52.4</v>
      </c>
      <c r="E9" s="8">
        <v>39.799999999999997</v>
      </c>
      <c r="F9" s="8">
        <v>37.4</v>
      </c>
      <c r="G9" s="8">
        <v>42</v>
      </c>
      <c r="H9" s="8">
        <v>17546</v>
      </c>
      <c r="J9">
        <f t="shared" si="7"/>
        <v>14677343.5</v>
      </c>
      <c r="K9" s="18">
        <f t="shared" si="8"/>
        <v>18616306</v>
      </c>
      <c r="L9" s="23">
        <f t="shared" si="9"/>
        <v>5263.8</v>
      </c>
      <c r="M9" s="26">
        <v>0.3</v>
      </c>
      <c r="N9">
        <f t="shared" si="10"/>
        <v>10909414.200000001</v>
      </c>
      <c r="O9" s="18">
        <f t="shared" si="0"/>
        <v>272735.35500000004</v>
      </c>
      <c r="P9" s="18">
        <f t="shared" si="11"/>
        <v>293546.87</v>
      </c>
      <c r="Q9" s="18">
        <f t="shared" si="1"/>
        <v>-20811.514999999956</v>
      </c>
      <c r="S9">
        <v>2000</v>
      </c>
      <c r="U9" s="23">
        <v>3000</v>
      </c>
      <c r="V9" s="26">
        <f t="shared" si="12"/>
        <v>0.17097914054485353</v>
      </c>
      <c r="X9">
        <f t="shared" si="2"/>
        <v>257.05500000000006</v>
      </c>
      <c r="Y9">
        <f t="shared" si="3"/>
        <v>272735.35500000004</v>
      </c>
      <c r="Z9">
        <f t="shared" si="13"/>
        <v>0.10827724078375799</v>
      </c>
      <c r="AA9">
        <f t="shared" ref="AA9:AA12" si="18">Z9+AA8</f>
        <v>0.19968802113484346</v>
      </c>
      <c r="AB9">
        <f t="shared" si="4"/>
        <v>0.14580184141816682</v>
      </c>
      <c r="AC9">
        <f t="shared" ref="AC9:AC12" si="19">AB9+AC8</f>
        <v>0.36498557097705098</v>
      </c>
      <c r="AD9">
        <f t="shared" ref="AD9:AD12" si="20">(AA9-AA8)*(AC9-AC8)</f>
        <v>1.578702108995015E-2</v>
      </c>
      <c r="AE9" s="136"/>
      <c r="AF9">
        <f t="shared" si="5"/>
        <v>7.2883246411178271E-2</v>
      </c>
      <c r="AH9">
        <f t="shared" si="14"/>
        <v>276.67</v>
      </c>
      <c r="AI9">
        <f t="shared" si="15"/>
        <v>293546.87</v>
      </c>
      <c r="AJ9">
        <f t="shared" si="16"/>
        <v>0.12746510169782718</v>
      </c>
      <c r="AK9">
        <f t="shared" ref="AK9:AK12" si="21">AJ9+AK8</f>
        <v>0.27218171524861967</v>
      </c>
      <c r="AL9">
        <f t="shared" si="17"/>
        <v>0.14580184141816682</v>
      </c>
      <c r="AM9">
        <f t="shared" ref="AM9:AM12" si="22">AL9+AM8</f>
        <v>0.36498557097705098</v>
      </c>
      <c r="AN9">
        <f t="shared" ref="AN9:AN12" si="23">(AK9-AK8)*(AM9-AM8)</f>
        <v>1.8584646544097111E-2</v>
      </c>
      <c r="AO9" s="136"/>
      <c r="AP9">
        <f t="shared" si="6"/>
        <v>9.9342398749530547E-2</v>
      </c>
    </row>
    <row r="10" spans="1:42" x14ac:dyDescent="0.2">
      <c r="A10" s="8" t="s">
        <v>3</v>
      </c>
      <c r="B10" s="8">
        <v>1445</v>
      </c>
      <c r="C10" s="8">
        <v>44.2</v>
      </c>
      <c r="D10" s="8">
        <v>55.8</v>
      </c>
      <c r="E10" s="8">
        <v>48</v>
      </c>
      <c r="F10" s="8">
        <v>41.5</v>
      </c>
      <c r="G10" s="8">
        <v>44.3</v>
      </c>
      <c r="H10" s="8">
        <v>19052</v>
      </c>
      <c r="J10">
        <f t="shared" si="7"/>
        <v>23312185.000000004</v>
      </c>
      <c r="K10" s="18">
        <f t="shared" si="8"/>
        <v>27530140</v>
      </c>
      <c r="L10" s="23">
        <f t="shared" si="9"/>
        <v>3810.4</v>
      </c>
      <c r="M10" s="26">
        <v>0.2</v>
      </c>
      <c r="N10">
        <f t="shared" si="10"/>
        <v>19856612</v>
      </c>
      <c r="O10" s="18">
        <f t="shared" si="0"/>
        <v>496415.30000000005</v>
      </c>
      <c r="P10" s="18">
        <f t="shared" si="11"/>
        <v>466243.70000000007</v>
      </c>
      <c r="Q10" s="18">
        <f t="shared" si="1"/>
        <v>30171.599999999977</v>
      </c>
      <c r="S10">
        <v>1500</v>
      </c>
      <c r="U10" s="23">
        <v>2000</v>
      </c>
      <c r="V10" s="26">
        <f t="shared" si="12"/>
        <v>0.10497585555322275</v>
      </c>
      <c r="X10">
        <f t="shared" si="2"/>
        <v>343.54</v>
      </c>
      <c r="Y10">
        <f t="shared" si="3"/>
        <v>496415.30000000005</v>
      </c>
      <c r="Z10">
        <f t="shared" si="13"/>
        <v>0.19707924910153821</v>
      </c>
      <c r="AA10">
        <f t="shared" si="18"/>
        <v>0.3967672702363817</v>
      </c>
      <c r="AB10">
        <f t="shared" si="4"/>
        <v>0.19857083963171637</v>
      </c>
      <c r="AC10">
        <f t="shared" si="19"/>
        <v>0.56355641060876738</v>
      </c>
      <c r="AD10">
        <f t="shared" si="20"/>
        <v>3.9134191968080635E-2</v>
      </c>
      <c r="AE10" s="136"/>
      <c r="AF10">
        <f t="shared" si="5"/>
        <v>0.22360073866145408</v>
      </c>
      <c r="AH10">
        <f t="shared" si="14"/>
        <v>322.66000000000003</v>
      </c>
      <c r="AI10">
        <f t="shared" si="15"/>
        <v>466243.7</v>
      </c>
      <c r="AJ10">
        <f t="shared" si="16"/>
        <v>0.20245421331343522</v>
      </c>
      <c r="AK10">
        <f t="shared" si="21"/>
        <v>0.47463592856205489</v>
      </c>
      <c r="AL10">
        <f t="shared" si="17"/>
        <v>0.19857083963171637</v>
      </c>
      <c r="AM10">
        <f t="shared" si="22"/>
        <v>0.56355641060876738</v>
      </c>
      <c r="AN10">
        <f t="shared" si="23"/>
        <v>4.0201503124627447E-2</v>
      </c>
      <c r="AO10" s="136"/>
      <c r="AP10">
        <f t="shared" si="6"/>
        <v>0.26748412024639101</v>
      </c>
    </row>
    <row r="11" spans="1:42" x14ac:dyDescent="0.2">
      <c r="A11" s="8" t="s">
        <v>4</v>
      </c>
      <c r="B11" s="8">
        <v>919</v>
      </c>
      <c r="C11" s="8">
        <v>49.2</v>
      </c>
      <c r="D11" s="8">
        <v>59.7</v>
      </c>
      <c r="E11" s="8">
        <v>47.1</v>
      </c>
      <c r="F11" s="8">
        <v>38.4</v>
      </c>
      <c r="G11" s="8">
        <v>39</v>
      </c>
      <c r="H11" s="8">
        <v>19761</v>
      </c>
      <c r="J11">
        <f t="shared" si="7"/>
        <v>16503402</v>
      </c>
      <c r="K11" s="18">
        <f t="shared" si="8"/>
        <v>18160359</v>
      </c>
      <c r="L11" s="23">
        <f t="shared" si="9"/>
        <v>1976.1000000000001</v>
      </c>
      <c r="M11" s="26">
        <v>0.1</v>
      </c>
      <c r="N11">
        <f t="shared" si="10"/>
        <v>15425323.100000001</v>
      </c>
      <c r="O11" s="18">
        <f t="shared" si="0"/>
        <v>385633.07750000007</v>
      </c>
      <c r="P11" s="18">
        <f t="shared" si="11"/>
        <v>330068.03999999998</v>
      </c>
      <c r="Q11" s="18">
        <f t="shared" si="1"/>
        <v>55565.037500000093</v>
      </c>
      <c r="S11">
        <v>1000</v>
      </c>
      <c r="U11" s="23">
        <v>1000</v>
      </c>
      <c r="V11" s="26">
        <f t="shared" si="12"/>
        <v>5.0604726481453366E-2</v>
      </c>
      <c r="X11">
        <f t="shared" si="2"/>
        <v>419.62250000000006</v>
      </c>
      <c r="Y11">
        <f t="shared" si="3"/>
        <v>385633.07750000007</v>
      </c>
      <c r="Z11">
        <f t="shared" si="13"/>
        <v>0.1530981767532453</v>
      </c>
      <c r="AA11">
        <f t="shared" si="18"/>
        <v>0.54986544698962703</v>
      </c>
      <c r="AB11">
        <f t="shared" si="4"/>
        <v>0.12628830562044799</v>
      </c>
      <c r="AC11">
        <f t="shared" si="19"/>
        <v>0.68984471622921539</v>
      </c>
      <c r="AD11">
        <f t="shared" si="20"/>
        <v>1.9334509335747214E-2</v>
      </c>
      <c r="AE11" s="136"/>
      <c r="AF11">
        <f t="shared" si="5"/>
        <v>0.37932177324280991</v>
      </c>
      <c r="AH11">
        <f t="shared" si="14"/>
        <v>359.15999999999997</v>
      </c>
      <c r="AI11">
        <f t="shared" si="15"/>
        <v>330068.03999999998</v>
      </c>
      <c r="AJ11">
        <f t="shared" si="16"/>
        <v>0.14332347091897962</v>
      </c>
      <c r="AK11">
        <f t="shared" si="21"/>
        <v>0.61795939948103451</v>
      </c>
      <c r="AL11">
        <f t="shared" si="17"/>
        <v>0.12628830562044799</v>
      </c>
      <c r="AM11">
        <f t="shared" si="22"/>
        <v>0.68984471622921539</v>
      </c>
      <c r="AN11">
        <f t="shared" si="23"/>
        <v>1.8100078297999492E-2</v>
      </c>
      <c r="AO11" s="136"/>
      <c r="AP11">
        <f t="shared" si="6"/>
        <v>0.42629602657617061</v>
      </c>
    </row>
    <row r="12" spans="1:42" x14ac:dyDescent="0.2">
      <c r="A12" s="8" t="s">
        <v>5</v>
      </c>
      <c r="B12" s="8">
        <v>2257</v>
      </c>
      <c r="C12" s="8">
        <v>53.4</v>
      </c>
      <c r="D12" s="8">
        <v>63.5</v>
      </c>
      <c r="E12" s="8">
        <v>51</v>
      </c>
      <c r="F12" s="8">
        <v>41.2</v>
      </c>
      <c r="G12" s="8">
        <v>42.8</v>
      </c>
      <c r="H12" s="8">
        <v>21152</v>
      </c>
      <c r="J12">
        <f t="shared" si="7"/>
        <v>43991187</v>
      </c>
      <c r="K12" s="18">
        <f t="shared" si="8"/>
        <v>47740064</v>
      </c>
      <c r="L12" s="23">
        <f t="shared" si="9"/>
        <v>1057.6000000000001</v>
      </c>
      <c r="M12" s="26">
        <v>0.05</v>
      </c>
      <c r="N12">
        <f t="shared" si="10"/>
        <v>45353060.800000004</v>
      </c>
      <c r="O12" s="18">
        <f t="shared" si="0"/>
        <v>1133826.5200000003</v>
      </c>
      <c r="P12" s="18">
        <f t="shared" si="11"/>
        <v>879823.74</v>
      </c>
      <c r="Q12" s="18">
        <f t="shared" si="1"/>
        <v>254002.78000000026</v>
      </c>
      <c r="S12">
        <v>0</v>
      </c>
      <c r="U12" s="23">
        <v>0</v>
      </c>
      <c r="V12" s="26">
        <f t="shared" si="12"/>
        <v>0</v>
      </c>
      <c r="X12">
        <f t="shared" si="2"/>
        <v>502.36000000000013</v>
      </c>
      <c r="Y12">
        <f t="shared" si="3"/>
        <v>1133826.5200000003</v>
      </c>
      <c r="Z12">
        <f t="shared" si="13"/>
        <v>0.45013455301037303</v>
      </c>
      <c r="AA12">
        <f t="shared" si="18"/>
        <v>1</v>
      </c>
      <c r="AB12">
        <f t="shared" si="4"/>
        <v>0.31015528377078466</v>
      </c>
      <c r="AC12">
        <f t="shared" si="19"/>
        <v>1</v>
      </c>
      <c r="AD12">
        <f t="shared" si="20"/>
        <v>0.13961161002396752</v>
      </c>
      <c r="AE12" s="136"/>
      <c r="AF12">
        <f t="shared" si="5"/>
        <v>1</v>
      </c>
      <c r="AH12">
        <f>P12/B12</f>
        <v>389.82</v>
      </c>
      <c r="AI12">
        <f t="shared" si="15"/>
        <v>879823.74</v>
      </c>
      <c r="AJ12">
        <f t="shared" si="16"/>
        <v>0.38204060051896538</v>
      </c>
      <c r="AK12">
        <f t="shared" si="21"/>
        <v>0.99999999999999989</v>
      </c>
      <c r="AL12">
        <f t="shared" si="17"/>
        <v>0.31015528377078466</v>
      </c>
      <c r="AM12">
        <f t="shared" si="22"/>
        <v>1</v>
      </c>
      <c r="AN12">
        <f t="shared" si="23"/>
        <v>0.11849191086592067</v>
      </c>
      <c r="AO12" s="136"/>
      <c r="AP12">
        <f t="shared" si="6"/>
        <v>0.99999999999999989</v>
      </c>
    </row>
    <row r="13" spans="1:42" s="16" customFormat="1" x14ac:dyDescent="0.2">
      <c r="A13" s="16" t="s">
        <v>99</v>
      </c>
      <c r="B13" s="16">
        <f>SUM(B7:B12)</f>
        <v>7277</v>
      </c>
      <c r="H13" s="16">
        <f>SUM(H7:H12)</f>
        <v>107079</v>
      </c>
      <c r="J13" s="19">
        <f>SUM(J7:J12)</f>
        <v>115147937</v>
      </c>
      <c r="K13" s="19">
        <f>SUM(K7:K12)</f>
        <v>135873781</v>
      </c>
      <c r="L13" s="25">
        <f>SUM(L7:L12)</f>
        <v>25359.1</v>
      </c>
      <c r="M13" s="22"/>
      <c r="N13" s="16">
        <f>SUM(N7:N12)</f>
        <v>100754453.30000001</v>
      </c>
      <c r="O13" s="19">
        <f>N13*$D$2</f>
        <v>2518861.3325000005</v>
      </c>
      <c r="P13" s="19">
        <f>K13*$D$1</f>
        <v>2717475.62</v>
      </c>
      <c r="Q13" s="19">
        <f>O13-P13</f>
        <v>-198614.28749999963</v>
      </c>
      <c r="U13" s="25">
        <f>SUM(U7:U12)</f>
        <v>15000</v>
      </c>
      <c r="V13" s="22"/>
      <c r="Y13" s="16">
        <f>SUM(Y7:Y12)</f>
        <v>2518861.3325000005</v>
      </c>
      <c r="AD13" s="16">
        <f>SUM(AD7:AD12)</f>
        <v>0.22527691368498623</v>
      </c>
      <c r="AE13" s="136"/>
      <c r="AI13" s="16">
        <f>SUM(AI7:AI12)</f>
        <v>2302958.7400000002</v>
      </c>
      <c r="AN13" s="16">
        <f>SUM(AN7:AN12)</f>
        <v>0.21235082631508517</v>
      </c>
      <c r="AO13" s="136"/>
    </row>
    <row r="14" spans="1:42" x14ac:dyDescent="0.2">
      <c r="K14" s="18"/>
    </row>
    <row r="15" spans="1:42" x14ac:dyDescent="0.2">
      <c r="A15" s="11" t="s">
        <v>16</v>
      </c>
      <c r="B15" s="11"/>
      <c r="C15" s="11"/>
      <c r="D15" s="11"/>
      <c r="E15" s="11"/>
      <c r="F15" s="11"/>
      <c r="G15" s="11"/>
      <c r="H15" s="11"/>
      <c r="I15" s="11"/>
      <c r="K15" s="18"/>
    </row>
    <row r="16" spans="1:42" ht="46" customHeight="1" x14ac:dyDescent="0.2">
      <c r="A16" s="17" t="s">
        <v>25</v>
      </c>
      <c r="B16" s="17" t="s">
        <v>24</v>
      </c>
      <c r="C16" s="17" t="s">
        <v>19</v>
      </c>
      <c r="D16" s="17" t="s">
        <v>18</v>
      </c>
      <c r="E16" s="17" t="s">
        <v>23</v>
      </c>
      <c r="F16" s="17" t="s">
        <v>22</v>
      </c>
      <c r="G16" s="17" t="s">
        <v>20</v>
      </c>
      <c r="H16" s="17" t="s">
        <v>21</v>
      </c>
      <c r="I16" s="27"/>
      <c r="J16" s="17" t="s">
        <v>114</v>
      </c>
      <c r="K16" s="17" t="s">
        <v>82</v>
      </c>
      <c r="L16" s="24" t="s">
        <v>81</v>
      </c>
      <c r="M16" s="21" t="s">
        <v>87</v>
      </c>
      <c r="N16" s="17" t="s">
        <v>83</v>
      </c>
      <c r="O16" s="17" t="s">
        <v>84</v>
      </c>
      <c r="P16" s="17" t="s">
        <v>85</v>
      </c>
      <c r="Q16" s="17" t="s">
        <v>86</v>
      </c>
      <c r="R16" s="8"/>
      <c r="S16" s="17" t="s">
        <v>88</v>
      </c>
      <c r="U16" s="24" t="s">
        <v>90</v>
      </c>
      <c r="V16" s="21" t="s">
        <v>87</v>
      </c>
      <c r="X16" s="17" t="s">
        <v>100</v>
      </c>
      <c r="Y16" s="17" t="s">
        <v>105</v>
      </c>
      <c r="Z16" s="17" t="s">
        <v>102</v>
      </c>
      <c r="AA16" s="17" t="s">
        <v>101</v>
      </c>
      <c r="AB16" s="17" t="s">
        <v>103</v>
      </c>
      <c r="AC16" s="17" t="s">
        <v>104</v>
      </c>
      <c r="AE16" s="17" t="s">
        <v>106</v>
      </c>
      <c r="AH16" s="17" t="s">
        <v>100</v>
      </c>
      <c r="AI16" s="17" t="s">
        <v>105</v>
      </c>
      <c r="AJ16" s="17" t="s">
        <v>102</v>
      </c>
      <c r="AK16" s="17" t="s">
        <v>101</v>
      </c>
      <c r="AL16" s="17" t="s">
        <v>103</v>
      </c>
      <c r="AM16" s="17" t="s">
        <v>104</v>
      </c>
      <c r="AO16" s="17" t="s">
        <v>106</v>
      </c>
    </row>
    <row r="17" spans="1:42" x14ac:dyDescent="0.2">
      <c r="A17" s="8" t="s">
        <v>0</v>
      </c>
      <c r="B17" s="8">
        <v>859</v>
      </c>
      <c r="C17" s="8">
        <v>22.1</v>
      </c>
      <c r="D17" s="8">
        <v>31.1</v>
      </c>
      <c r="E17" s="8">
        <v>27.6</v>
      </c>
      <c r="F17" s="8">
        <v>21.8</v>
      </c>
      <c r="G17" s="8">
        <v>20.9</v>
      </c>
      <c r="H17" s="8">
        <v>10564</v>
      </c>
      <c r="J17">
        <f>C17*365*B17</f>
        <v>6929123.5000000009</v>
      </c>
      <c r="K17" s="18">
        <f>H17*B17</f>
        <v>9074476</v>
      </c>
      <c r="L17" s="23">
        <f>M17*H17</f>
        <v>3169.2</v>
      </c>
      <c r="M17" s="26">
        <v>0.3</v>
      </c>
      <c r="N17">
        <f>B17*(H17-L17-S17)</f>
        <v>4634133.2</v>
      </c>
      <c r="O17" s="18">
        <f t="shared" ref="O17:O22" si="24">N17*$D$2</f>
        <v>115853.33000000002</v>
      </c>
      <c r="P17" s="18">
        <f>J17*$D$1</f>
        <v>138582.47000000003</v>
      </c>
      <c r="Q17" s="18">
        <f t="shared" ref="Q17:Q22" si="25">O17-P17</f>
        <v>-22729.140000000014</v>
      </c>
      <c r="S17">
        <v>2000</v>
      </c>
      <c r="U17" s="23">
        <v>5000</v>
      </c>
      <c r="V17" s="26">
        <f>U17/H17</f>
        <v>0.47330556607345703</v>
      </c>
      <c r="X17">
        <f>O17/B17</f>
        <v>134.87000000000003</v>
      </c>
      <c r="Y17">
        <f t="shared" ref="Y17:Y22" si="26">B17*X17</f>
        <v>115853.33000000003</v>
      </c>
      <c r="Z17">
        <f t="shared" ref="Z17:Z21" si="27">Y17/$Y$23</f>
        <v>4.4182418748237133E-2</v>
      </c>
      <c r="AA17">
        <f>Z17</f>
        <v>4.4182418748237133E-2</v>
      </c>
      <c r="AB17">
        <f t="shared" ref="AB17:AB21" si="28">B17/$B$23</f>
        <v>0.10384429400386848</v>
      </c>
      <c r="AC17">
        <f>AB17</f>
        <v>0.10384429400386848</v>
      </c>
      <c r="AD17">
        <f>AA17*AC17</f>
        <v>4.5880920822939679E-3</v>
      </c>
      <c r="AE17" s="135">
        <f>1-AD23</f>
        <v>0.77783549044667</v>
      </c>
      <c r="AF17">
        <f t="shared" ref="AF17:AF22" si="29">AA17*AC17</f>
        <v>4.5880920822939679E-3</v>
      </c>
      <c r="AH17">
        <f>P17/B17</f>
        <v>161.33000000000004</v>
      </c>
      <c r="AI17">
        <f>B17*AH17</f>
        <v>138582.47000000003</v>
      </c>
      <c r="AJ17">
        <f>AI17/$AI$23</f>
        <v>6.1120109826178319E-2</v>
      </c>
      <c r="AK17">
        <f>AJ17</f>
        <v>6.1120109826178319E-2</v>
      </c>
      <c r="AL17">
        <f>B17/$B$23</f>
        <v>0.10384429400386848</v>
      </c>
      <c r="AM17">
        <f>AL17</f>
        <v>0.10384429400386848</v>
      </c>
      <c r="AN17">
        <f>AK17*AM17</f>
        <v>6.3469746543383925E-3</v>
      </c>
      <c r="AO17" s="135">
        <f>1-AN23</f>
        <v>0.78229258970456439</v>
      </c>
      <c r="AP17">
        <f t="shared" ref="AP17:AP22" si="30">AK17*AM17</f>
        <v>6.3469746543383925E-3</v>
      </c>
    </row>
    <row r="18" spans="1:42" x14ac:dyDescent="0.2">
      <c r="A18" s="8" t="s">
        <v>1</v>
      </c>
      <c r="B18" s="8">
        <v>1082</v>
      </c>
      <c r="C18" s="8">
        <v>22.9</v>
      </c>
      <c r="D18" s="8">
        <v>33.799999999999997</v>
      </c>
      <c r="E18" s="8">
        <v>32.1</v>
      </c>
      <c r="F18" s="8">
        <v>24.5</v>
      </c>
      <c r="G18" s="8">
        <v>24.7</v>
      </c>
      <c r="H18" s="8">
        <v>11651</v>
      </c>
      <c r="J18">
        <f t="shared" ref="J18:J22" si="31">C18*365*B18</f>
        <v>9043897</v>
      </c>
      <c r="K18" s="18">
        <f t="shared" ref="K18:K22" si="32">H18*B18</f>
        <v>12606382</v>
      </c>
      <c r="L18" s="23">
        <f t="shared" ref="L18:L22" si="33">M18*H18</f>
        <v>2912.75</v>
      </c>
      <c r="M18" s="26">
        <v>0.25</v>
      </c>
      <c r="N18">
        <f t="shared" ref="N18:N22" si="34">B18*(H18-L18-S18)</f>
        <v>7831786.5</v>
      </c>
      <c r="O18" s="18">
        <f t="shared" si="24"/>
        <v>195794.66250000001</v>
      </c>
      <c r="P18" s="18">
        <f t="shared" ref="P18:P22" si="35">J18*$D$1</f>
        <v>180877.94</v>
      </c>
      <c r="Q18" s="18">
        <f t="shared" si="25"/>
        <v>14916.722500000003</v>
      </c>
      <c r="S18">
        <v>1500</v>
      </c>
      <c r="U18" s="23">
        <v>4000</v>
      </c>
      <c r="V18" s="26">
        <f t="shared" ref="V18:V22" si="36">U18/H18</f>
        <v>0.34331817011415328</v>
      </c>
      <c r="X18">
        <f t="shared" ref="X18:X22" si="37">O18/B18</f>
        <v>180.95625000000001</v>
      </c>
      <c r="Y18">
        <f t="shared" si="26"/>
        <v>195794.66250000001</v>
      </c>
      <c r="Z18">
        <f t="shared" si="27"/>
        <v>7.4669254368819271E-2</v>
      </c>
      <c r="AA18">
        <f>Z18+AA17</f>
        <v>0.11885167311705641</v>
      </c>
      <c r="AB18">
        <f t="shared" si="28"/>
        <v>0.1308027079303675</v>
      </c>
      <c r="AC18">
        <f>AB18+AC17</f>
        <v>0.23464700193423599</v>
      </c>
      <c r="AD18">
        <f>(AA18-AA17)*(AC18-AC17)</f>
        <v>9.7669406705829867E-3</v>
      </c>
      <c r="AE18" s="136"/>
      <c r="AF18">
        <f t="shared" si="29"/>
        <v>2.788818877178512E-2</v>
      </c>
      <c r="AH18">
        <f t="shared" ref="AH18:AH21" si="38">P18/B18</f>
        <v>167.17000000000002</v>
      </c>
      <c r="AI18">
        <f t="shared" ref="AI18:AI22" si="39">B18*AH18</f>
        <v>180877.94000000003</v>
      </c>
      <c r="AJ18">
        <f t="shared" ref="AJ18:AJ22" si="40">AI18/$AI$23</f>
        <v>7.977401151771138E-2</v>
      </c>
      <c r="AK18">
        <f>AJ18+AK17</f>
        <v>0.14089412134388971</v>
      </c>
      <c r="AL18">
        <f t="shared" ref="AL18:AL22" si="41">B18/$B$23</f>
        <v>0.1308027079303675</v>
      </c>
      <c r="AM18">
        <f>AL18+AM17</f>
        <v>0.23464700193423599</v>
      </c>
      <c r="AN18">
        <f>(AK18-AK17)*(AM18-AM17)</f>
        <v>1.0434656728984977E-2</v>
      </c>
      <c r="AO18" s="136"/>
      <c r="AP18">
        <f t="shared" si="30"/>
        <v>3.3060383163502169E-2</v>
      </c>
    </row>
    <row r="19" spans="1:42" x14ac:dyDescent="0.2">
      <c r="A19" s="8" t="s">
        <v>2</v>
      </c>
      <c r="B19" s="8">
        <v>1234</v>
      </c>
      <c r="C19" s="8">
        <v>32.5</v>
      </c>
      <c r="D19" s="8">
        <v>41.7</v>
      </c>
      <c r="E19" s="8">
        <v>33.5</v>
      </c>
      <c r="F19" s="8">
        <v>26.7</v>
      </c>
      <c r="G19" s="8">
        <v>33</v>
      </c>
      <c r="H19" s="8">
        <v>13869</v>
      </c>
      <c r="J19">
        <f t="shared" si="31"/>
        <v>14638325</v>
      </c>
      <c r="K19" s="18">
        <f t="shared" si="32"/>
        <v>17114346</v>
      </c>
      <c r="L19" s="23">
        <f t="shared" si="33"/>
        <v>2773.8</v>
      </c>
      <c r="M19" s="26">
        <v>0.2</v>
      </c>
      <c r="N19">
        <f t="shared" si="34"/>
        <v>12457476.800000001</v>
      </c>
      <c r="O19" s="18">
        <f t="shared" si="24"/>
        <v>311436.92000000004</v>
      </c>
      <c r="P19" s="18">
        <f t="shared" si="35"/>
        <v>292766.5</v>
      </c>
      <c r="Q19" s="18">
        <f t="shared" si="25"/>
        <v>18670.420000000042</v>
      </c>
      <c r="S19">
        <v>1000</v>
      </c>
      <c r="U19" s="23">
        <v>3000</v>
      </c>
      <c r="V19" s="26">
        <f t="shared" si="36"/>
        <v>0.2163097555699762</v>
      </c>
      <c r="X19">
        <f t="shared" si="37"/>
        <v>252.38000000000002</v>
      </c>
      <c r="Y19">
        <f t="shared" si="26"/>
        <v>311436.92000000004</v>
      </c>
      <c r="Z19">
        <f t="shared" si="27"/>
        <v>0.11877117742840217</v>
      </c>
      <c r="AA19">
        <f t="shared" ref="AA19:AA22" si="42">Z19+AA18</f>
        <v>0.23762285054545856</v>
      </c>
      <c r="AB19">
        <f t="shared" si="28"/>
        <v>0.14917794970986462</v>
      </c>
      <c r="AC19">
        <f t="shared" ref="AC19:AC22" si="43">AB19+AC18</f>
        <v>0.38382495164410058</v>
      </c>
      <c r="AD19">
        <f t="shared" ref="AD19:AD22" si="44">(AA19-AA18)*(AC19-AC18)</f>
        <v>1.7718040733395581E-2</v>
      </c>
      <c r="AE19" s="136"/>
      <c r="AF19">
        <f t="shared" si="29"/>
        <v>9.1205579120143973E-2</v>
      </c>
      <c r="AH19">
        <f t="shared" si="38"/>
        <v>237.25</v>
      </c>
      <c r="AI19">
        <f t="shared" si="39"/>
        <v>292766.5</v>
      </c>
      <c r="AJ19">
        <f t="shared" si="40"/>
        <v>0.12912109759211127</v>
      </c>
      <c r="AK19">
        <f t="shared" ref="AK19:AK22" si="45">AJ19+AK18</f>
        <v>0.270015218936001</v>
      </c>
      <c r="AL19">
        <f t="shared" si="41"/>
        <v>0.14917794970986462</v>
      </c>
      <c r="AM19">
        <f t="shared" ref="AM19:AM22" si="46">AL19+AM18</f>
        <v>0.38382495164410058</v>
      </c>
      <c r="AN19">
        <f t="shared" ref="AN19:AN22" si="47">(AK19-AK18)*(AM19-AM18)</f>
        <v>1.9262020603078495E-2</v>
      </c>
      <c r="AO19" s="136"/>
      <c r="AP19">
        <f t="shared" si="30"/>
        <v>0.10363857835128182</v>
      </c>
    </row>
    <row r="20" spans="1:42" x14ac:dyDescent="0.2">
      <c r="A20" s="8" t="s">
        <v>3</v>
      </c>
      <c r="B20" s="8">
        <v>1390</v>
      </c>
      <c r="C20" s="8">
        <v>37.799999999999997</v>
      </c>
      <c r="D20" s="8">
        <v>45.1</v>
      </c>
      <c r="E20" s="8">
        <v>41.7</v>
      </c>
      <c r="F20" s="8">
        <v>30.8</v>
      </c>
      <c r="G20" s="8">
        <v>32.4</v>
      </c>
      <c r="H20" s="8">
        <v>15376</v>
      </c>
      <c r="J20">
        <f t="shared" si="31"/>
        <v>19177829.999999996</v>
      </c>
      <c r="K20" s="18">
        <f t="shared" si="32"/>
        <v>21372640</v>
      </c>
      <c r="L20" s="23">
        <f t="shared" si="33"/>
        <v>2306.4</v>
      </c>
      <c r="M20" s="26">
        <v>0.15</v>
      </c>
      <c r="N20">
        <f t="shared" si="34"/>
        <v>17471744</v>
      </c>
      <c r="O20" s="18">
        <f t="shared" si="24"/>
        <v>436793.60000000003</v>
      </c>
      <c r="P20" s="18">
        <f t="shared" si="35"/>
        <v>383556.59999999992</v>
      </c>
      <c r="Q20" s="18">
        <f t="shared" si="25"/>
        <v>53237.000000000116</v>
      </c>
      <c r="S20">
        <v>500</v>
      </c>
      <c r="U20" s="23">
        <v>2000</v>
      </c>
      <c r="V20" s="26">
        <f t="shared" si="36"/>
        <v>0.13007284079084286</v>
      </c>
      <c r="X20">
        <f t="shared" si="37"/>
        <v>314.24</v>
      </c>
      <c r="Y20">
        <f t="shared" si="26"/>
        <v>436793.60000000003</v>
      </c>
      <c r="Z20">
        <f t="shared" si="27"/>
        <v>0.16657784236111287</v>
      </c>
      <c r="AA20">
        <f t="shared" si="42"/>
        <v>0.40420069290657146</v>
      </c>
      <c r="AB20">
        <f t="shared" si="28"/>
        <v>0.16803675048355898</v>
      </c>
      <c r="AC20">
        <f t="shared" si="43"/>
        <v>0.5518617021276595</v>
      </c>
      <c r="AD20">
        <f t="shared" si="44"/>
        <v>2.799119933292394E-2</v>
      </c>
      <c r="AE20" s="136"/>
      <c r="AF20">
        <f t="shared" si="29"/>
        <v>0.22306288238859992</v>
      </c>
      <c r="AH20">
        <f t="shared" si="38"/>
        <v>275.93999999999994</v>
      </c>
      <c r="AI20">
        <f t="shared" si="39"/>
        <v>383556.59999999992</v>
      </c>
      <c r="AJ20">
        <f t="shared" si="40"/>
        <v>0.16916296495910008</v>
      </c>
      <c r="AK20">
        <f t="shared" si="45"/>
        <v>0.4391781838951011</v>
      </c>
      <c r="AL20">
        <f t="shared" si="41"/>
        <v>0.16803675048355898</v>
      </c>
      <c r="AM20">
        <f t="shared" si="46"/>
        <v>0.5518617021276595</v>
      </c>
      <c r="AN20">
        <f t="shared" si="47"/>
        <v>2.8425594933891327E-2</v>
      </c>
      <c r="AO20" s="136"/>
      <c r="AP20">
        <f t="shared" si="30"/>
        <v>0.24236562010168475</v>
      </c>
    </row>
    <row r="21" spans="1:42" x14ac:dyDescent="0.2">
      <c r="A21" s="8" t="s">
        <v>4</v>
      </c>
      <c r="B21" s="8">
        <v>1043</v>
      </c>
      <c r="C21" s="8">
        <v>41.6</v>
      </c>
      <c r="D21" s="8">
        <v>49</v>
      </c>
      <c r="E21" s="8">
        <v>40.799999999999997</v>
      </c>
      <c r="F21" s="8">
        <v>27.7</v>
      </c>
      <c r="G21" s="8">
        <v>28.3</v>
      </c>
      <c r="H21" s="8">
        <v>16085</v>
      </c>
      <c r="J21">
        <f t="shared" si="31"/>
        <v>15836912</v>
      </c>
      <c r="K21" s="18">
        <f t="shared" si="32"/>
        <v>16776655</v>
      </c>
      <c r="L21" s="23">
        <f t="shared" si="33"/>
        <v>804.25</v>
      </c>
      <c r="M21" s="26">
        <v>0.05</v>
      </c>
      <c r="N21">
        <f t="shared" si="34"/>
        <v>15937822.25</v>
      </c>
      <c r="O21" s="18">
        <f t="shared" si="24"/>
        <v>398445.55625000002</v>
      </c>
      <c r="P21" s="18">
        <f t="shared" si="35"/>
        <v>316738.24</v>
      </c>
      <c r="Q21" s="18">
        <f t="shared" si="25"/>
        <v>81707.316250000033</v>
      </c>
      <c r="S21">
        <v>0</v>
      </c>
      <c r="U21" s="23">
        <v>1000</v>
      </c>
      <c r="V21" s="26">
        <f t="shared" si="36"/>
        <v>6.2169723344731115E-2</v>
      </c>
      <c r="X21">
        <f t="shared" si="37"/>
        <v>382.01875000000001</v>
      </c>
      <c r="Y21">
        <f t="shared" si="26"/>
        <v>398445.55625000002</v>
      </c>
      <c r="Z21">
        <f t="shared" si="27"/>
        <v>0.15195323617035239</v>
      </c>
      <c r="AA21">
        <f t="shared" si="42"/>
        <v>0.55615392907692385</v>
      </c>
      <c r="AB21">
        <f t="shared" si="28"/>
        <v>0.1260880077369439</v>
      </c>
      <c r="AC21">
        <f t="shared" si="43"/>
        <v>0.67794970986460346</v>
      </c>
      <c r="AD21">
        <f t="shared" si="44"/>
        <v>1.9159480817901062E-2</v>
      </c>
      <c r="AE21" s="136"/>
      <c r="AF21">
        <f t="shared" si="29"/>
        <v>0.37704439485775976</v>
      </c>
      <c r="AH21">
        <f t="shared" si="38"/>
        <v>303.68</v>
      </c>
      <c r="AI21">
        <f t="shared" si="39"/>
        <v>316738.24</v>
      </c>
      <c r="AJ21">
        <f t="shared" si="40"/>
        <v>0.13969354143385107</v>
      </c>
      <c r="AK21">
        <f t="shared" si="45"/>
        <v>0.57887172532895215</v>
      </c>
      <c r="AL21">
        <f t="shared" si="41"/>
        <v>0.1260880077369439</v>
      </c>
      <c r="AM21">
        <f t="shared" si="46"/>
        <v>0.67794970986460346</v>
      </c>
      <c r="AN21">
        <f t="shared" si="47"/>
        <v>1.7613680333112509E-2</v>
      </c>
      <c r="AO21" s="136"/>
      <c r="AP21">
        <f t="shared" si="30"/>
        <v>0.39244591823558556</v>
      </c>
    </row>
    <row r="22" spans="1:42" x14ac:dyDescent="0.2">
      <c r="A22" s="8" t="s">
        <v>5</v>
      </c>
      <c r="B22" s="8">
        <v>2664</v>
      </c>
      <c r="C22" s="8">
        <v>49.1</v>
      </c>
      <c r="D22" s="8">
        <v>52.8</v>
      </c>
      <c r="E22" s="8">
        <v>44.6</v>
      </c>
      <c r="F22" s="8">
        <v>31.5</v>
      </c>
      <c r="G22" s="8">
        <v>32.1</v>
      </c>
      <c r="H22" s="8">
        <v>17475</v>
      </c>
      <c r="J22">
        <f t="shared" si="31"/>
        <v>47742876</v>
      </c>
      <c r="K22" s="18">
        <f t="shared" si="32"/>
        <v>46553400</v>
      </c>
      <c r="L22" s="23">
        <f t="shared" si="33"/>
        <v>0</v>
      </c>
      <c r="M22" s="26">
        <v>0</v>
      </c>
      <c r="N22">
        <f t="shared" si="34"/>
        <v>46553400</v>
      </c>
      <c r="O22" s="18">
        <f t="shared" si="24"/>
        <v>1163835</v>
      </c>
      <c r="P22" s="18">
        <f t="shared" si="35"/>
        <v>954857.52</v>
      </c>
      <c r="Q22" s="18">
        <f t="shared" si="25"/>
        <v>208977.47999999998</v>
      </c>
      <c r="S22">
        <v>0</v>
      </c>
      <c r="U22" s="23">
        <v>0</v>
      </c>
      <c r="V22" s="26">
        <f t="shared" si="36"/>
        <v>0</v>
      </c>
      <c r="X22">
        <f t="shared" si="37"/>
        <v>436.875</v>
      </c>
      <c r="Y22">
        <f t="shared" si="26"/>
        <v>1163835</v>
      </c>
      <c r="Z22">
        <f>Y22/$Y$23</f>
        <v>0.44384607092307621</v>
      </c>
      <c r="AA22">
        <f t="shared" si="42"/>
        <v>1</v>
      </c>
      <c r="AB22">
        <f>B22/$B$23</f>
        <v>0.32205029013539654</v>
      </c>
      <c r="AC22">
        <f t="shared" si="43"/>
        <v>1</v>
      </c>
      <c r="AD22">
        <f t="shared" si="44"/>
        <v>0.14294075591623245</v>
      </c>
      <c r="AE22" s="136"/>
      <c r="AF22">
        <f t="shared" si="29"/>
        <v>1</v>
      </c>
      <c r="AH22">
        <f>P22/B22</f>
        <v>358.43</v>
      </c>
      <c r="AI22">
        <f t="shared" si="39"/>
        <v>954857.52</v>
      </c>
      <c r="AJ22">
        <f t="shared" si="40"/>
        <v>0.42112827467104785</v>
      </c>
      <c r="AK22">
        <f t="shared" si="45"/>
        <v>1</v>
      </c>
      <c r="AL22">
        <f t="shared" si="41"/>
        <v>0.32205029013539654</v>
      </c>
      <c r="AM22">
        <f t="shared" si="46"/>
        <v>1</v>
      </c>
      <c r="AN22">
        <f t="shared" si="47"/>
        <v>0.13562448304202993</v>
      </c>
      <c r="AO22" s="136"/>
      <c r="AP22">
        <f t="shared" si="30"/>
        <v>1</v>
      </c>
    </row>
    <row r="23" spans="1:42" s="16" customFormat="1" x14ac:dyDescent="0.2">
      <c r="B23" s="16">
        <f>SUM(B17:B22)</f>
        <v>8272</v>
      </c>
      <c r="H23" s="16">
        <f>SUM(H17:H22)</f>
        <v>85020</v>
      </c>
      <c r="J23" s="19">
        <f>SUM(J17:J22)</f>
        <v>113368963.5</v>
      </c>
      <c r="K23" s="19">
        <f>SUM(K17:K22)</f>
        <v>123497899</v>
      </c>
      <c r="L23" s="25">
        <f>SUM(L17:L22)</f>
        <v>11966.4</v>
      </c>
      <c r="M23" s="22"/>
      <c r="N23" s="16">
        <f>SUM(N17:N22)</f>
        <v>104886362.75</v>
      </c>
      <c r="O23" s="19">
        <f>N23*$D$2</f>
        <v>2622159.0687500001</v>
      </c>
      <c r="P23" s="19">
        <f>K23*$D$1</f>
        <v>2469957.98</v>
      </c>
      <c r="Q23" s="19">
        <f>O23-P23</f>
        <v>152201.08875000011</v>
      </c>
      <c r="U23" s="25">
        <f>SUM(U17:U22)</f>
        <v>15000</v>
      </c>
      <c r="V23" s="22"/>
      <c r="Y23" s="16">
        <f>SUM(Y17:Y22)</f>
        <v>2622159.0687500001</v>
      </c>
      <c r="AD23" s="16">
        <f>SUM(AD17:AD22)</f>
        <v>0.22216450955333</v>
      </c>
      <c r="AE23" s="136"/>
      <c r="AI23" s="16">
        <f>SUM(AI17:AI22)</f>
        <v>2267379.27</v>
      </c>
      <c r="AN23" s="16">
        <f>SUM(AN17:AN22)</f>
        <v>0.21770741029543564</v>
      </c>
      <c r="AO23" s="136"/>
    </row>
    <row r="24" spans="1:42" x14ac:dyDescent="0.2">
      <c r="K24" s="18"/>
    </row>
    <row r="25" spans="1:42" x14ac:dyDescent="0.2">
      <c r="A25" s="11" t="s">
        <v>17</v>
      </c>
      <c r="B25" s="11"/>
      <c r="C25" s="11"/>
      <c r="D25" s="11"/>
      <c r="E25" s="11"/>
      <c r="F25" s="11"/>
      <c r="G25" s="11"/>
      <c r="H25" s="11"/>
      <c r="I25" s="11"/>
      <c r="K25" s="18"/>
    </row>
    <row r="26" spans="1:42" ht="46" customHeight="1" x14ac:dyDescent="0.2">
      <c r="A26" s="17" t="s">
        <v>25</v>
      </c>
      <c r="B26" s="17" t="s">
        <v>24</v>
      </c>
      <c r="C26" s="17" t="s">
        <v>19</v>
      </c>
      <c r="D26" s="17" t="s">
        <v>18</v>
      </c>
      <c r="E26" s="17" t="s">
        <v>23</v>
      </c>
      <c r="F26" s="17" t="s">
        <v>22</v>
      </c>
      <c r="G26" s="17" t="s">
        <v>20</v>
      </c>
      <c r="H26" s="17" t="s">
        <v>21</v>
      </c>
      <c r="I26" s="27"/>
      <c r="J26" s="17" t="s">
        <v>114</v>
      </c>
      <c r="K26" s="17" t="s">
        <v>82</v>
      </c>
      <c r="L26" s="24" t="s">
        <v>81</v>
      </c>
      <c r="M26" s="21" t="s">
        <v>87</v>
      </c>
      <c r="N26" s="17" t="s">
        <v>83</v>
      </c>
      <c r="O26" s="17" t="s">
        <v>84</v>
      </c>
      <c r="P26" s="17" t="s">
        <v>85</v>
      </c>
      <c r="Q26" s="17" t="s">
        <v>86</v>
      </c>
      <c r="R26" s="8"/>
      <c r="S26" s="17" t="s">
        <v>88</v>
      </c>
      <c r="U26" s="24" t="s">
        <v>90</v>
      </c>
      <c r="V26" s="21" t="s">
        <v>87</v>
      </c>
      <c r="X26" s="17" t="s">
        <v>100</v>
      </c>
      <c r="Y26" s="17" t="s">
        <v>105</v>
      </c>
      <c r="Z26" s="17" t="s">
        <v>102</v>
      </c>
      <c r="AA26" s="17" t="s">
        <v>101</v>
      </c>
      <c r="AB26" s="17" t="s">
        <v>103</v>
      </c>
      <c r="AC26" s="17" t="s">
        <v>104</v>
      </c>
      <c r="AE26" s="17" t="s">
        <v>106</v>
      </c>
      <c r="AH26" s="17" t="s">
        <v>100</v>
      </c>
      <c r="AI26" s="17" t="s">
        <v>105</v>
      </c>
      <c r="AJ26" s="17" t="s">
        <v>102</v>
      </c>
      <c r="AK26" s="17" t="s">
        <v>101</v>
      </c>
      <c r="AL26" s="17" t="s">
        <v>103</v>
      </c>
      <c r="AM26" s="17" t="s">
        <v>104</v>
      </c>
      <c r="AO26" s="17" t="s">
        <v>106</v>
      </c>
    </row>
    <row r="27" spans="1:42" x14ac:dyDescent="0.2">
      <c r="A27" s="8" t="s">
        <v>0</v>
      </c>
      <c r="B27" s="8">
        <v>1927</v>
      </c>
      <c r="C27" s="8">
        <v>20.3</v>
      </c>
      <c r="D27" s="8">
        <v>28.9</v>
      </c>
      <c r="E27" s="8">
        <v>25.4</v>
      </c>
      <c r="F27" s="8">
        <v>24.5</v>
      </c>
      <c r="G27" s="8">
        <v>18.600000000000001</v>
      </c>
      <c r="H27" s="8">
        <v>9989</v>
      </c>
      <c r="J27">
        <f>C27*365*B27</f>
        <v>14278106.5</v>
      </c>
      <c r="K27" s="18">
        <f>H27*B27</f>
        <v>19248803</v>
      </c>
      <c r="L27" s="23">
        <f>M27*H27</f>
        <v>1997.8000000000002</v>
      </c>
      <c r="M27" s="26">
        <v>0.2</v>
      </c>
      <c r="N27">
        <f>B27*(H27-L27-S27)</f>
        <v>11545042.4</v>
      </c>
      <c r="O27" s="18">
        <f t="shared" ref="O27:O32" si="48">N27*$D$2</f>
        <v>288626.06</v>
      </c>
      <c r="P27" s="18">
        <f>J27*$D$1</f>
        <v>285562.13</v>
      </c>
      <c r="Q27" s="18">
        <f t="shared" ref="Q27:Q32" si="49">O27-P27</f>
        <v>3063.929999999993</v>
      </c>
      <c r="S27">
        <v>2000</v>
      </c>
      <c r="U27" s="23">
        <v>5000</v>
      </c>
      <c r="V27" s="26">
        <f>U27/H27</f>
        <v>0.50055060566623288</v>
      </c>
      <c r="X27">
        <f>O27/B27</f>
        <v>149.78</v>
      </c>
      <c r="Y27">
        <f t="shared" ref="Y27:Y32" si="50">B27*X27</f>
        <v>288626.06</v>
      </c>
      <c r="Z27">
        <f t="shared" ref="Z27:Z31" si="51">Y27/$Y$33</f>
        <v>5.2597585656995488E-2</v>
      </c>
      <c r="AA27">
        <f>Z27</f>
        <v>5.2597585656995488E-2</v>
      </c>
      <c r="AB27">
        <f t="shared" ref="AB27:AB31" si="52">B27/$B$33</f>
        <v>0.11463414634146342</v>
      </c>
      <c r="AC27">
        <f>AB27</f>
        <v>0.11463414634146342</v>
      </c>
      <c r="AD27">
        <f>AA27*AC27</f>
        <v>6.0294793314116784E-3</v>
      </c>
      <c r="AE27" s="135">
        <f>1-AD33</f>
        <v>0.76719069335274692</v>
      </c>
      <c r="AF27">
        <f t="shared" ref="AF27:AF32" si="53">AA27*AC27</f>
        <v>6.0294793314116784E-3</v>
      </c>
      <c r="AH27">
        <f>P27/B27</f>
        <v>148.19</v>
      </c>
      <c r="AI27">
        <f>B27*AH27</f>
        <v>285562.13</v>
      </c>
      <c r="AJ27">
        <f>AI27/$AI$33</f>
        <v>6.155555548561855E-2</v>
      </c>
      <c r="AK27">
        <f>AJ27</f>
        <v>6.155555548561855E-2</v>
      </c>
      <c r="AL27">
        <f>B27/$B$33</f>
        <v>0.11463414634146342</v>
      </c>
      <c r="AM27">
        <f>AL27</f>
        <v>0.11463414634146342</v>
      </c>
      <c r="AN27">
        <f>AK27*AM27</f>
        <v>7.0563685556684682E-3</v>
      </c>
      <c r="AO27" s="135">
        <f>1-AN33</f>
        <v>0.76950544980774382</v>
      </c>
      <c r="AP27">
        <f t="shared" ref="AP27:AP32" si="54">AK27*AM27</f>
        <v>7.0563685556684682E-3</v>
      </c>
    </row>
    <row r="28" spans="1:42" x14ac:dyDescent="0.2">
      <c r="A28" s="8" t="s">
        <v>1</v>
      </c>
      <c r="B28" s="8">
        <v>1687</v>
      </c>
      <c r="C28" s="8">
        <v>24.5</v>
      </c>
      <c r="D28" s="8">
        <v>31.5</v>
      </c>
      <c r="E28" s="8">
        <v>29.8</v>
      </c>
      <c r="F28" s="8">
        <v>27.3</v>
      </c>
      <c r="G28" s="8">
        <v>22.4</v>
      </c>
      <c r="H28" s="8">
        <v>11077</v>
      </c>
      <c r="J28">
        <f t="shared" ref="J28:J32" si="55">C28*365*B28</f>
        <v>15085997.5</v>
      </c>
      <c r="K28" s="18">
        <f t="shared" ref="K28:K32" si="56">H28*B28</f>
        <v>18686899</v>
      </c>
      <c r="L28" s="23">
        <f t="shared" ref="L28:L32" si="57">M28*H28</f>
        <v>1661.55</v>
      </c>
      <c r="M28" s="26">
        <v>0.15</v>
      </c>
      <c r="N28">
        <f t="shared" ref="N28:N32" si="58">B28*(H28-L28-S28)</f>
        <v>13353364.15</v>
      </c>
      <c r="O28" s="18">
        <f t="shared" si="48"/>
        <v>333834.10375000001</v>
      </c>
      <c r="P28" s="18">
        <f t="shared" ref="P28:P32" si="59">J28*$D$1</f>
        <v>301719.95</v>
      </c>
      <c r="Q28" s="18">
        <f t="shared" si="49"/>
        <v>32114.153749999998</v>
      </c>
      <c r="S28">
        <v>1500</v>
      </c>
      <c r="U28" s="23">
        <v>4000</v>
      </c>
      <c r="V28" s="26">
        <f t="shared" ref="V28:V32" si="60">U28/H28</f>
        <v>0.3611086034124763</v>
      </c>
      <c r="X28">
        <f t="shared" ref="X28:X32" si="61">O28/B28</f>
        <v>197.88625000000002</v>
      </c>
      <c r="Y28">
        <f t="shared" si="50"/>
        <v>333834.10375000001</v>
      </c>
      <c r="Z28">
        <f t="shared" si="51"/>
        <v>6.0836044628877053E-2</v>
      </c>
      <c r="AA28">
        <f>Z28+AA27</f>
        <v>0.11343363028587254</v>
      </c>
      <c r="AB28">
        <f t="shared" si="52"/>
        <v>0.10035693039857228</v>
      </c>
      <c r="AC28">
        <f>AB28+AC27</f>
        <v>0.2149910767400357</v>
      </c>
      <c r="AD28">
        <f>(AA28-AA27)*(AC28-AC27)</f>
        <v>6.105318696544652E-3</v>
      </c>
      <c r="AE28" s="136"/>
      <c r="AF28">
        <f t="shared" si="53"/>
        <v>2.438721831369086E-2</v>
      </c>
      <c r="AH28">
        <f t="shared" ref="AH28:AH31" si="62">P28/B28</f>
        <v>178.85</v>
      </c>
      <c r="AI28">
        <f t="shared" ref="AI28:AI32" si="63">B28*AH28</f>
        <v>301719.95</v>
      </c>
      <c r="AJ28">
        <f t="shared" ref="AJ28:AJ32" si="64">AI28/$AI$33</f>
        <v>6.5038522871863486E-2</v>
      </c>
      <c r="AK28">
        <f>AJ28+AK27</f>
        <v>0.12659407835748204</v>
      </c>
      <c r="AL28">
        <f t="shared" ref="AL28:AL32" si="65">B28/$B$33</f>
        <v>0.10035693039857228</v>
      </c>
      <c r="AM28">
        <f>AL28+AM27</f>
        <v>0.2149910767400357</v>
      </c>
      <c r="AN28">
        <f>(AK28-AK27)*(AM28-AM27)</f>
        <v>6.527066513077555E-3</v>
      </c>
      <c r="AO28" s="136"/>
      <c r="AP28">
        <f t="shared" si="54"/>
        <v>2.7216597214987516E-2</v>
      </c>
    </row>
    <row r="29" spans="1:42" x14ac:dyDescent="0.2">
      <c r="A29" s="8" t="s">
        <v>2</v>
      </c>
      <c r="B29" s="8">
        <v>2454</v>
      </c>
      <c r="C29" s="8">
        <v>33.1</v>
      </c>
      <c r="D29" s="8">
        <v>39.4</v>
      </c>
      <c r="E29" s="8">
        <v>31.2</v>
      </c>
      <c r="F29" s="8">
        <v>29.5</v>
      </c>
      <c r="G29" s="8">
        <v>29</v>
      </c>
      <c r="H29" s="8">
        <v>13295</v>
      </c>
      <c r="J29">
        <f t="shared" si="55"/>
        <v>29648001</v>
      </c>
      <c r="K29" s="18">
        <f t="shared" si="56"/>
        <v>32625930</v>
      </c>
      <c r="L29" s="23">
        <f t="shared" si="57"/>
        <v>1329.5</v>
      </c>
      <c r="M29" s="26">
        <v>0.1</v>
      </c>
      <c r="N29">
        <f t="shared" si="58"/>
        <v>26909337</v>
      </c>
      <c r="O29" s="18">
        <f t="shared" si="48"/>
        <v>672733.42500000005</v>
      </c>
      <c r="P29" s="18">
        <f t="shared" si="59"/>
        <v>592960.02</v>
      </c>
      <c r="Q29" s="18">
        <f t="shared" si="49"/>
        <v>79773.405000000028</v>
      </c>
      <c r="S29">
        <v>1000</v>
      </c>
      <c r="U29" s="23">
        <v>3000</v>
      </c>
      <c r="V29" s="26">
        <f t="shared" si="60"/>
        <v>0.22564874012786762</v>
      </c>
      <c r="X29">
        <f t="shared" si="61"/>
        <v>274.13750000000005</v>
      </c>
      <c r="Y29">
        <f t="shared" si="50"/>
        <v>672733.42500000016</v>
      </c>
      <c r="Z29">
        <f t="shared" si="51"/>
        <v>0.12259514593298146</v>
      </c>
      <c r="AA29">
        <f t="shared" ref="AA29:AA32" si="66">Z29+AA28</f>
        <v>0.23602877621885399</v>
      </c>
      <c r="AB29">
        <f t="shared" si="52"/>
        <v>0.14598453301606187</v>
      </c>
      <c r="AC29">
        <f t="shared" ref="AC29:AC32" si="67">AB29+AC28</f>
        <v>0.36097560975609755</v>
      </c>
      <c r="AD29">
        <f t="shared" ref="AD29:AD32" si="68">(AA29-AA28)*(AC29-AC28)</f>
        <v>1.7896995129062249E-2</v>
      </c>
      <c r="AE29" s="136"/>
      <c r="AF29">
        <f t="shared" si="53"/>
        <v>8.5200631415586314E-2</v>
      </c>
      <c r="AH29">
        <f t="shared" si="62"/>
        <v>241.63</v>
      </c>
      <c r="AI29">
        <f t="shared" si="63"/>
        <v>592960.02</v>
      </c>
      <c r="AJ29">
        <f t="shared" si="64"/>
        <v>0.1278180107840752</v>
      </c>
      <c r="AK29">
        <f t="shared" ref="AK29:AK32" si="69">AJ29+AK28</f>
        <v>0.25441208914155722</v>
      </c>
      <c r="AL29">
        <f t="shared" si="65"/>
        <v>0.14598453301606187</v>
      </c>
      <c r="AM29">
        <f t="shared" ref="AM29:AM32" si="70">AL29+AM28</f>
        <v>0.36097560975609755</v>
      </c>
      <c r="AN29">
        <f t="shared" ref="AN29:AN32" si="71">(AK29-AK28)*(AM29-AM28)</f>
        <v>1.8659452615355173E-2</v>
      </c>
      <c r="AO29" s="136"/>
      <c r="AP29">
        <f t="shared" si="54"/>
        <v>9.1836559007196256E-2</v>
      </c>
    </row>
    <row r="30" spans="1:42" x14ac:dyDescent="0.2">
      <c r="A30" s="8" t="s">
        <v>3</v>
      </c>
      <c r="B30" s="8">
        <v>3323</v>
      </c>
      <c r="C30" s="8">
        <v>37.6</v>
      </c>
      <c r="D30" s="8">
        <v>42.8</v>
      </c>
      <c r="E30" s="8">
        <v>39.299999999999997</v>
      </c>
      <c r="F30" s="8">
        <v>33.4</v>
      </c>
      <c r="G30" s="8">
        <v>31.5</v>
      </c>
      <c r="H30" s="8">
        <v>14670</v>
      </c>
      <c r="J30">
        <f t="shared" si="55"/>
        <v>45604852</v>
      </c>
      <c r="K30" s="18">
        <f t="shared" si="56"/>
        <v>48748410</v>
      </c>
      <c r="L30" s="23">
        <f t="shared" si="57"/>
        <v>733.5</v>
      </c>
      <c r="M30" s="26">
        <v>0.05</v>
      </c>
      <c r="N30">
        <f t="shared" si="58"/>
        <v>44649489.5</v>
      </c>
      <c r="O30" s="18">
        <f t="shared" si="48"/>
        <v>1116237.2375</v>
      </c>
      <c r="P30" s="18">
        <f t="shared" si="59"/>
        <v>912097.04</v>
      </c>
      <c r="Q30" s="18">
        <f t="shared" si="49"/>
        <v>204140.19750000001</v>
      </c>
      <c r="S30">
        <v>500</v>
      </c>
      <c r="U30" s="23">
        <v>2000</v>
      </c>
      <c r="V30" s="26">
        <f t="shared" si="60"/>
        <v>0.13633265167007499</v>
      </c>
      <c r="X30">
        <f t="shared" si="61"/>
        <v>335.91250000000002</v>
      </c>
      <c r="Y30">
        <f t="shared" si="50"/>
        <v>1116237.2375</v>
      </c>
      <c r="Z30">
        <f t="shared" si="51"/>
        <v>0.20341677987404974</v>
      </c>
      <c r="AA30">
        <f t="shared" si="66"/>
        <v>0.4394455560929037</v>
      </c>
      <c r="AB30">
        <f t="shared" si="52"/>
        <v>0.19767995240928019</v>
      </c>
      <c r="AC30">
        <f t="shared" si="67"/>
        <v>0.55865556216537771</v>
      </c>
      <c r="AD30">
        <f t="shared" si="68"/>
        <v>4.0211419364751165E-2</v>
      </c>
      <c r="AE30" s="136"/>
      <c r="AF30">
        <f t="shared" si="53"/>
        <v>0.24549870418015815</v>
      </c>
      <c r="AH30">
        <f t="shared" si="62"/>
        <v>274.48</v>
      </c>
      <c r="AI30">
        <f t="shared" si="63"/>
        <v>912097.04</v>
      </c>
      <c r="AJ30">
        <f t="shared" si="64"/>
        <v>0.19661094401413956</v>
      </c>
      <c r="AK30">
        <f t="shared" si="69"/>
        <v>0.45102303315569681</v>
      </c>
      <c r="AL30">
        <f t="shared" si="65"/>
        <v>0.19767995240928019</v>
      </c>
      <c r="AM30">
        <f t="shared" si="70"/>
        <v>0.55865556216537771</v>
      </c>
      <c r="AN30">
        <f t="shared" si="71"/>
        <v>3.8866042055858759E-2</v>
      </c>
      <c r="AO30" s="136"/>
      <c r="AP30">
        <f t="shared" si="54"/>
        <v>0.25196652613712961</v>
      </c>
    </row>
    <row r="31" spans="1:42" x14ac:dyDescent="0.2">
      <c r="A31" s="8" t="s">
        <v>4</v>
      </c>
      <c r="B31" s="8">
        <v>1684</v>
      </c>
      <c r="C31" s="8">
        <v>43.7</v>
      </c>
      <c r="D31" s="8">
        <v>46.7</v>
      </c>
      <c r="E31" s="8">
        <v>38.5</v>
      </c>
      <c r="F31" s="8">
        <v>30.4</v>
      </c>
      <c r="G31" s="8">
        <v>26</v>
      </c>
      <c r="H31" s="8">
        <v>15510</v>
      </c>
      <c r="J31">
        <f t="shared" si="55"/>
        <v>26860642.000000004</v>
      </c>
      <c r="K31" s="18">
        <f t="shared" si="56"/>
        <v>26118840</v>
      </c>
      <c r="L31" s="23">
        <f t="shared" si="57"/>
        <v>0</v>
      </c>
      <c r="M31" s="26">
        <v>0</v>
      </c>
      <c r="N31">
        <f t="shared" si="58"/>
        <v>26118840</v>
      </c>
      <c r="O31" s="18">
        <f t="shared" si="48"/>
        <v>652971</v>
      </c>
      <c r="P31" s="18">
        <f t="shared" si="59"/>
        <v>537212.84000000008</v>
      </c>
      <c r="Q31" s="18">
        <f t="shared" si="49"/>
        <v>115758.15999999992</v>
      </c>
      <c r="S31">
        <v>0</v>
      </c>
      <c r="U31" s="23">
        <v>1000</v>
      </c>
      <c r="V31" s="26">
        <f t="shared" si="60"/>
        <v>6.4474532559638947E-2</v>
      </c>
      <c r="X31">
        <f t="shared" si="61"/>
        <v>387.75</v>
      </c>
      <c r="Y31">
        <f t="shared" si="50"/>
        <v>652971</v>
      </c>
      <c r="Z31">
        <f t="shared" si="51"/>
        <v>0.11899375303821839</v>
      </c>
      <c r="AA31">
        <f t="shared" si="66"/>
        <v>0.55843930913112205</v>
      </c>
      <c r="AB31">
        <f t="shared" si="52"/>
        <v>0.10017846519928614</v>
      </c>
      <c r="AC31">
        <f t="shared" si="67"/>
        <v>0.65883402736466379</v>
      </c>
      <c r="AD31">
        <f t="shared" si="68"/>
        <v>1.19206115476716E-2</v>
      </c>
      <c r="AE31" s="136"/>
      <c r="AF31">
        <f t="shared" si="53"/>
        <v>0.36791881907359758</v>
      </c>
      <c r="AH31">
        <f t="shared" si="62"/>
        <v>319.01000000000005</v>
      </c>
      <c r="AI31">
        <f t="shared" si="63"/>
        <v>537212.84000000008</v>
      </c>
      <c r="AJ31">
        <f t="shared" si="64"/>
        <v>0.11580119107602513</v>
      </c>
      <c r="AK31">
        <f t="shared" si="69"/>
        <v>0.56682422423172196</v>
      </c>
      <c r="AL31">
        <f t="shared" si="65"/>
        <v>0.10017846519928614</v>
      </c>
      <c r="AM31">
        <f t="shared" si="70"/>
        <v>0.65883402736466379</v>
      </c>
      <c r="AN31">
        <f t="shared" si="71"/>
        <v>1.1600785590245464E-2</v>
      </c>
      <c r="AO31" s="136"/>
      <c r="AP31">
        <f t="shared" si="54"/>
        <v>0.37344308645843666</v>
      </c>
    </row>
    <row r="32" spans="1:42" x14ac:dyDescent="0.2">
      <c r="A32" s="8" t="s">
        <v>5</v>
      </c>
      <c r="B32" s="8">
        <v>5735</v>
      </c>
      <c r="C32" s="8">
        <v>48</v>
      </c>
      <c r="D32" s="8">
        <v>50.5</v>
      </c>
      <c r="E32" s="8">
        <v>42.4</v>
      </c>
      <c r="F32" s="8">
        <v>34.200000000000003</v>
      </c>
      <c r="G32" s="8">
        <v>29.8</v>
      </c>
      <c r="H32" s="8">
        <v>16900</v>
      </c>
      <c r="J32">
        <f t="shared" si="55"/>
        <v>100477200</v>
      </c>
      <c r="K32" s="18">
        <f t="shared" si="56"/>
        <v>96921500</v>
      </c>
      <c r="L32" s="23">
        <f t="shared" si="57"/>
        <v>0</v>
      </c>
      <c r="M32" s="26">
        <v>0</v>
      </c>
      <c r="N32">
        <f t="shared" si="58"/>
        <v>96921500</v>
      </c>
      <c r="O32" s="18">
        <f t="shared" si="48"/>
        <v>2423037.5</v>
      </c>
      <c r="P32" s="18">
        <f t="shared" si="59"/>
        <v>2009544</v>
      </c>
      <c r="Q32" s="18">
        <f t="shared" si="49"/>
        <v>413493.5</v>
      </c>
      <c r="S32">
        <v>0</v>
      </c>
      <c r="U32" s="23">
        <v>0</v>
      </c>
      <c r="V32" s="26">
        <f t="shared" si="60"/>
        <v>0</v>
      </c>
      <c r="X32">
        <f t="shared" si="61"/>
        <v>422.5</v>
      </c>
      <c r="Y32">
        <f t="shared" si="50"/>
        <v>2423037.5</v>
      </c>
      <c r="Z32">
        <f>Y32/$Y$33</f>
        <v>0.44156069086887795</v>
      </c>
      <c r="AA32">
        <f t="shared" si="66"/>
        <v>1</v>
      </c>
      <c r="AB32">
        <f>B32/$B$33</f>
        <v>0.3411659726353361</v>
      </c>
      <c r="AC32">
        <f t="shared" si="67"/>
        <v>0.99999999999999989</v>
      </c>
      <c r="AD32">
        <f t="shared" si="68"/>
        <v>0.15064548257781171</v>
      </c>
      <c r="AE32" s="136"/>
      <c r="AF32">
        <f t="shared" si="53"/>
        <v>0.99999999999999989</v>
      </c>
      <c r="AH32">
        <f>P32/B32</f>
        <v>350.4</v>
      </c>
      <c r="AI32">
        <f t="shared" si="63"/>
        <v>2009543.9999999998</v>
      </c>
      <c r="AJ32">
        <f t="shared" si="64"/>
        <v>0.43317577576827793</v>
      </c>
      <c r="AK32">
        <f t="shared" si="69"/>
        <v>0.99999999999999989</v>
      </c>
      <c r="AL32">
        <f t="shared" si="65"/>
        <v>0.3411659726353361</v>
      </c>
      <c r="AM32">
        <f t="shared" si="70"/>
        <v>0.99999999999999989</v>
      </c>
      <c r="AN32">
        <f t="shared" si="71"/>
        <v>0.1477848348620508</v>
      </c>
      <c r="AO32" s="136"/>
      <c r="AP32">
        <f t="shared" si="54"/>
        <v>0.99999999999999978</v>
      </c>
    </row>
    <row r="33" spans="2:41" s="16" customFormat="1" x14ac:dyDescent="0.2">
      <c r="B33" s="16">
        <f>SUM(B27:B32)</f>
        <v>16810</v>
      </c>
      <c r="H33" s="16">
        <f>SUM(H27:H32)</f>
        <v>81441</v>
      </c>
      <c r="J33" s="19">
        <f>SUM(J27:J32)</f>
        <v>231954799</v>
      </c>
      <c r="K33" s="19">
        <f>SUM(K27:K32)</f>
        <v>242350382</v>
      </c>
      <c r="L33" s="25">
        <f>SUM(L27:L32)</f>
        <v>5722.35</v>
      </c>
      <c r="M33" s="22"/>
      <c r="N33" s="16">
        <f>SUM(N27:N32)</f>
        <v>219497573.05000001</v>
      </c>
      <c r="O33" s="19">
        <f>N33*$D$2</f>
        <v>5487439.3262500009</v>
      </c>
      <c r="P33" s="19">
        <f>K33*$D$1</f>
        <v>4847007.6399999997</v>
      </c>
      <c r="Q33" s="19">
        <f>O33-P33</f>
        <v>640431.68625000119</v>
      </c>
      <c r="U33" s="25">
        <f>SUM(U27:U32)</f>
        <v>15000</v>
      </c>
      <c r="V33" s="22"/>
      <c r="Y33" s="16">
        <f>SUM(Y27:Y32)</f>
        <v>5487439.3262499999</v>
      </c>
      <c r="AD33" s="16">
        <f>SUM(AD27:AD32)</f>
        <v>0.23280930664725305</v>
      </c>
      <c r="AE33" s="136"/>
      <c r="AI33" s="16">
        <f>SUM(AI27:AI32)</f>
        <v>4639095.9800000004</v>
      </c>
      <c r="AN33" s="16">
        <f>SUM(AN27:AN32)</f>
        <v>0.23049455019225623</v>
      </c>
      <c r="AO33" s="136"/>
    </row>
    <row r="34" spans="2:41" x14ac:dyDescent="0.2">
      <c r="U34" s="25"/>
    </row>
  </sheetData>
  <mergeCells count="6">
    <mergeCell ref="AE7:AE13"/>
    <mergeCell ref="AE17:AE23"/>
    <mergeCell ref="AE27:AE33"/>
    <mergeCell ref="AO7:AO13"/>
    <mergeCell ref="AO17:AO23"/>
    <mergeCell ref="AO27:AO3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Result Summary (Translog) (2)</vt:lpstr>
      <vt:lpstr>Translog Model (NEW)</vt:lpstr>
      <vt:lpstr>X-Result Summary (Translog)</vt:lpstr>
      <vt:lpstr>X-Result Summary</vt:lpstr>
      <vt:lpstr>X-Old Income Group</vt:lpstr>
      <vt:lpstr>Scenario 4</vt:lpstr>
      <vt:lpstr>Scenario 3+4</vt:lpstr>
      <vt:lpstr>Scenario 3</vt:lpstr>
      <vt:lpstr>Income Category (DO NOT USE)</vt:lpstr>
      <vt:lpstr>Region Category (DO NOT USE)</vt:lpstr>
      <vt:lpstr>'Result Summary (Translog) (2)'!Print_Area</vt:lpstr>
      <vt:lpstr>'Translog Model (NEW)'!Print_Area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Xujie Liu</cp:lastModifiedBy>
  <cp:lastPrinted>2025-12-03T07:22:06Z</cp:lastPrinted>
  <dcterms:created xsi:type="dcterms:W3CDTF">2025-11-18T09:12:21Z</dcterms:created>
  <dcterms:modified xsi:type="dcterms:W3CDTF">2025-12-04T00:09:40Z</dcterms:modified>
</cp:coreProperties>
</file>